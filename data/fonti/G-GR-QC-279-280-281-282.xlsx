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66925"/>
  <xr:revisionPtr revIDLastSave="0" documentId="8_{4518A454-494D-47DB-B52C-309DF1FD53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clamosità BP GAS-279" sheetId="3" r:id="rId1"/>
    <sheet name="Cap risp reclami BP GAS-280" sheetId="4" r:id="rId2"/>
    <sheet name="Indici per operatore GAS-281" sheetId="5" r:id="rId3"/>
    <sheet name="Reclami per argomento GAS-282" sheetId="6" r:id="rId4"/>
  </sheets>
  <externalReferences>
    <externalReference r:id="rId5"/>
  </externalReferences>
  <definedNames>
    <definedName name="_xlnm._FilterDatabase" localSheetId="2" hidden="1">'Indici per operatore GAS-281'!$B$78:$E$249</definedName>
    <definedName name="_xlnm._FilterDatabase" localSheetId="3" hidden="1">'Reclami per argomento GAS-282'!$A$9:$F$58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" i="6" l="1"/>
  <c r="F10" i="6"/>
  <c r="F11" i="6"/>
  <c r="F12" i="6"/>
  <c r="F13" i="6"/>
  <c r="F15" i="6"/>
  <c r="F21" i="6"/>
  <c r="F19" i="6"/>
  <c r="F18" i="6"/>
  <c r="F17" i="6"/>
  <c r="F16" i="6"/>
  <c r="F20" i="6"/>
  <c r="D27" i="6"/>
  <c r="C27" i="6"/>
  <c r="D22" i="6"/>
  <c r="C22" i="6"/>
  <c r="D26" i="6"/>
  <c r="C26" i="6"/>
  <c r="D23" i="6"/>
  <c r="C23" i="6"/>
  <c r="D24" i="6"/>
  <c r="C24" i="6"/>
  <c r="D25" i="6"/>
  <c r="C25" i="6"/>
  <c r="G20" i="4"/>
  <c r="F20" i="4"/>
  <c r="E20" i="4"/>
  <c r="C20" i="4"/>
  <c r="B20" i="4"/>
  <c r="G20" i="3"/>
  <c r="F20" i="3"/>
  <c r="C20" i="3"/>
  <c r="B20" i="3"/>
  <c r="E19" i="3"/>
  <c r="E19" i="4"/>
  <c r="F27" i="6" l="1"/>
  <c r="F23" i="6"/>
  <c r="F22" i="6"/>
  <c r="F26" i="6"/>
  <c r="F24" i="6"/>
  <c r="E20" i="3"/>
  <c r="F25" i="6"/>
</calcChain>
</file>

<file path=xl/sharedStrings.xml><?xml version="1.0" encoding="utf-8"?>
<sst xmlns="http://schemas.openxmlformats.org/spreadsheetml/2006/main" count="756" uniqueCount="172">
  <si>
    <t>Dato di base</t>
  </si>
  <si>
    <t xml:space="preserve">Reclamosità dei clienti </t>
  </si>
  <si>
    <t>Settore</t>
  </si>
  <si>
    <t>Gas</t>
  </si>
  <si>
    <t>Tipo utente</t>
  </si>
  <si>
    <t>Bassa pressione</t>
  </si>
  <si>
    <t xml:space="preserve">FONTE: </t>
  </si>
  <si>
    <t>Monitoraggio retail. Elaborazioni dati dichiarati dagli operatori nell’ambito degli obblighi informativi previsti dal TIQV.</t>
  </si>
  <si>
    <t>ID GRAFICO</t>
  </si>
  <si>
    <t>G-GR-QV-BP-279</t>
  </si>
  <si>
    <t xml:space="preserve">versione del </t>
  </si>
  <si>
    <t>v210726</t>
  </si>
  <si>
    <t>Anno</t>
  </si>
  <si>
    <t>Reclami inviati ai venditori - Mercato libero (n°)</t>
  </si>
  <si>
    <t>Reclami inviati ai venditori - Servizio di tutela (n°)</t>
  </si>
  <si>
    <t>Reclami inviati ai venditori - Servizio di tutela della vulnerabilità (n°)</t>
  </si>
  <si>
    <t>Reclami inviati ai venditori - Totale (n°)</t>
  </si>
  <si>
    <t>Indice di reclamosità - Mercato libero (%)</t>
  </si>
  <si>
    <t>Indice di reclamosità - Servizio di tutela (%)</t>
  </si>
  <si>
    <t>Indice di reclamosità - Servizio di tutela della vulnerabilità (%)</t>
  </si>
  <si>
    <t xml:space="preserve">Reclami e relativa capacità di risposta </t>
  </si>
  <si>
    <t>G-GR-QV-BP-280</t>
  </si>
  <si>
    <t>Numero di reclami - Mercato Libero n°</t>
  </si>
  <si>
    <t>Numero di reclami - Servizio di Tutela n°</t>
  </si>
  <si>
    <t>Numero di reclami - Servizio di Tutela della vulnerabilità n°</t>
  </si>
  <si>
    <t>Numero di reclami - Totale n°</t>
  </si>
  <si>
    <t>Capacità risposta ai reclami - Mercato Libero %</t>
  </si>
  <si>
    <t>Capacità risposta ai reclami - Servizio di Tutela %</t>
  </si>
  <si>
    <t>Capacità risposta ai reclami - Servizio di Tutela della vulnerabilità %</t>
  </si>
  <si>
    <t>.</t>
  </si>
  <si>
    <t xml:space="preserve">Reclamosità e capacità di risposta per operatore </t>
  </si>
  <si>
    <t>G-GR-QV-BP-281</t>
  </si>
  <si>
    <t>ID ANONIMIZZATO</t>
  </si>
  <si>
    <t>ANNO</t>
  </si>
  <si>
    <t>PROGRESSIVO in base al n° reclami ricevuti</t>
  </si>
  <si>
    <t>Capacità di risposta</t>
  </si>
  <si>
    <t>Reclamosità</t>
  </si>
  <si>
    <t>Op954</t>
  </si>
  <si>
    <t>2025</t>
  </si>
  <si>
    <t>Op1136</t>
  </si>
  <si>
    <t>Op1317</t>
  </si>
  <si>
    <t>Op859</t>
  </si>
  <si>
    <t>Op1205</t>
  </si>
  <si>
    <t>Op1310</t>
  </si>
  <si>
    <t>Op891</t>
  </si>
  <si>
    <t>Op1350</t>
  </si>
  <si>
    <t>Op84</t>
  </si>
  <si>
    <t>Op1099</t>
  </si>
  <si>
    <t>Op81</t>
  </si>
  <si>
    <t>Op948</t>
  </si>
  <si>
    <t>Op24</t>
  </si>
  <si>
    <t>Op936</t>
  </si>
  <si>
    <t>Op1104</t>
  </si>
  <si>
    <t>Op759</t>
  </si>
  <si>
    <t>Op774</t>
  </si>
  <si>
    <t>Op56</t>
  </si>
  <si>
    <t>Op75</t>
  </si>
  <si>
    <t>Op903</t>
  </si>
  <si>
    <t>Op86</t>
  </si>
  <si>
    <t>Op1235</t>
  </si>
  <si>
    <t>Op70</t>
  </si>
  <si>
    <t>Op50</t>
  </si>
  <si>
    <t>Op20</t>
  </si>
  <si>
    <t>Op36</t>
  </si>
  <si>
    <t>Op66</t>
  </si>
  <si>
    <t>Op799</t>
  </si>
  <si>
    <t>Op17</t>
  </si>
  <si>
    <t>Op71</t>
  </si>
  <si>
    <t>Op1129</t>
  </si>
  <si>
    <t>Op524</t>
  </si>
  <si>
    <t>Op1051</t>
  </si>
  <si>
    <t>Op18</t>
  </si>
  <si>
    <t>Op74</t>
  </si>
  <si>
    <t>Op777</t>
  </si>
  <si>
    <t>Op62</t>
  </si>
  <si>
    <t>Op34</t>
  </si>
  <si>
    <t>Op13</t>
  </si>
  <si>
    <t>Op68</t>
  </si>
  <si>
    <t>Op82</t>
  </si>
  <si>
    <t>Op76</t>
  </si>
  <si>
    <t>Op45</t>
  </si>
  <si>
    <t>Op10</t>
  </si>
  <si>
    <t>Op1053</t>
  </si>
  <si>
    <t>Op79</t>
  </si>
  <si>
    <t>Op1482</t>
  </si>
  <si>
    <t>Op1360</t>
  </si>
  <si>
    <t>Op28</t>
  </si>
  <si>
    <t>Op23</t>
  </si>
  <si>
    <t>Op9</t>
  </si>
  <si>
    <t>Op911</t>
  </si>
  <si>
    <t>Op958</t>
  </si>
  <si>
    <t>Op1160</t>
  </si>
  <si>
    <t>Op52</t>
  </si>
  <si>
    <t>Op72</t>
  </si>
  <si>
    <t>Op5</t>
  </si>
  <si>
    <t>Op27</t>
  </si>
  <si>
    <t>Op78</t>
  </si>
  <si>
    <t>Op11</t>
  </si>
  <si>
    <t>Op85</t>
  </si>
  <si>
    <t>Op14</t>
  </si>
  <si>
    <t>Op44</t>
  </si>
  <si>
    <t>Op3</t>
  </si>
  <si>
    <t>Op63</t>
  </si>
  <si>
    <t>Op4</t>
  </si>
  <si>
    <t>Op956</t>
  </si>
  <si>
    <t>Op29</t>
  </si>
  <si>
    <t>Op41</t>
  </si>
  <si>
    <t>Op1196</t>
  </si>
  <si>
    <t>Op31</t>
  </si>
  <si>
    <t>Op58</t>
  </si>
  <si>
    <t>Op35</t>
  </si>
  <si>
    <t>Op42</t>
  </si>
  <si>
    <t>Op80</t>
  </si>
  <si>
    <t>Op586</t>
  </si>
  <si>
    <t>Op33</t>
  </si>
  <si>
    <t>Op73</t>
  </si>
  <si>
    <t>Op25</t>
  </si>
  <si>
    <t>Op61</t>
  </si>
  <si>
    <t>Op67</t>
  </si>
  <si>
    <t>Op1301</t>
  </si>
  <si>
    <t>Op1055</t>
  </si>
  <si>
    <t>Op861</t>
  </si>
  <si>
    <t>Op908</t>
  </si>
  <si>
    <t>Op53</t>
  </si>
  <si>
    <t>Op1054</t>
  </si>
  <si>
    <t>Op88</t>
  </si>
  <si>
    <t>Op951</t>
  </si>
  <si>
    <t>Op65</t>
  </si>
  <si>
    <t>Op1</t>
  </si>
  <si>
    <t>Op417</t>
  </si>
  <si>
    <t>Op46</t>
  </si>
  <si>
    <t>Op826</t>
  </si>
  <si>
    <t>Op55</t>
  </si>
  <si>
    <t>Op15</t>
  </si>
  <si>
    <t>Op22</t>
  </si>
  <si>
    <t>Op16</t>
  </si>
  <si>
    <t>Op77</t>
  </si>
  <si>
    <t>Op87</t>
  </si>
  <si>
    <t>Op1048</t>
  </si>
  <si>
    <t>Op57</t>
  </si>
  <si>
    <t>Op2</t>
  </si>
  <si>
    <t>Op8</t>
  </si>
  <si>
    <t>Op49</t>
  </si>
  <si>
    <t>Op89</t>
  </si>
  <si>
    <t>Op83</t>
  </si>
  <si>
    <t>Op48</t>
  </si>
  <si>
    <t>Op21</t>
  </si>
  <si>
    <t>Op40</t>
  </si>
  <si>
    <t>Op64</t>
  </si>
  <si>
    <t>Op59</t>
  </si>
  <si>
    <t>Op51</t>
  </si>
  <si>
    <t>Op6</t>
  </si>
  <si>
    <t>Op12</t>
  </si>
  <si>
    <t>Op60</t>
  </si>
  <si>
    <t>Op43</t>
  </si>
  <si>
    <t>Classificazione dei reclami ricevuti dai venditori</t>
  </si>
  <si>
    <t>G-GR-QV-BP-282</t>
  </si>
  <si>
    <t>Note:</t>
  </si>
  <si>
    <t>*I CLIENTI MULTISITO POSSONO ESSERE SIA CLIENTI DEL MERCATO LIBERO CHE NEL SERVIZIO DI TUTELA, ATTUALMENTE LA RACCOLTA DATI NON CONSENTE DI AVERE UNA DISTINZIONE</t>
  </si>
  <si>
    <t>ARGOMENTO</t>
  </si>
  <si>
    <t>Mercato libero</t>
  </si>
  <si>
    <t>Servizio di tutela</t>
  </si>
  <si>
    <t>Multisito</t>
  </si>
  <si>
    <t>Totale</t>
  </si>
  <si>
    <t>Contratti</t>
  </si>
  <si>
    <t>Fatturazione</t>
  </si>
  <si>
    <t>Mercato</t>
  </si>
  <si>
    <t>Prezzi e tariffe</t>
  </si>
  <si>
    <t xml:space="preserve"> Altro</t>
  </si>
  <si>
    <t xml:space="preserve">Contratti </t>
  </si>
  <si>
    <t xml:space="preserve">Fatturazione </t>
  </si>
  <si>
    <t xml:space="preserve">Prezzi e tariffe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</si>
</sst>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#,##0.00%;\(#,##0.00%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17" fontId="0" fillId="0" borderId="0" xfId="0" applyNumberFormat="1"/>
    <xf numFmtId="17" fontId="3" fillId="0" borderId="0" xfId="0" applyNumberFormat="1" applyFont="1" applyAlignment="1">
      <alignment wrapTex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164" fontId="0" fillId="0" borderId="0" xfId="1" applyNumberFormat="1" applyFont="1" applyFill="1"/>
    <xf numFmtId="0" fontId="2" fillId="0" borderId="0" xfId="0" applyFont="1" applyAlignment="1">
      <alignment wrapText="1"/>
    </xf>
    <xf numFmtId="165" fontId="0" fillId="0" borderId="0" xfId="2" applyNumberFormat="1" applyFont="1"/>
    <xf numFmtId="165" fontId="0" fillId="0" borderId="0" xfId="2" applyNumberFormat="1" applyFont="1" applyFill="1"/>
    <xf numFmtId="164" fontId="3" fillId="0" borderId="0" xfId="1" applyNumberFormat="1" applyFont="1" applyFill="1" applyAlignment="1">
      <alignment wrapText="1"/>
    </xf>
    <xf numFmtId="164" fontId="3" fillId="0" borderId="0" xfId="1" applyNumberFormat="1" applyFont="1" applyFill="1"/>
    <xf numFmtId="164" fontId="1" fillId="0" borderId="0" xfId="1" applyNumberFormat="1" applyFont="1" applyFill="1"/>
    <xf numFmtId="164" fontId="0" fillId="0" borderId="0" xfId="1" applyNumberFormat="1" applyFont="1"/>
    <xf numFmtId="165" fontId="5" fillId="0" borderId="0" xfId="2" applyNumberFormat="1" applyFont="1"/>
    <xf numFmtId="0" fontId="6" fillId="0" borderId="0" xfId="0" applyFont="1" applyAlignment="1">
      <alignment wrapText="1"/>
    </xf>
    <xf numFmtId="165" fontId="5" fillId="0" borderId="0" xfId="0" applyNumberFormat="1" applyFont="1"/>
    <xf numFmtId="165" fontId="2" fillId="0" borderId="0" xfId="2" applyNumberFormat="1" applyFont="1" applyAlignment="1">
      <alignment wrapText="1"/>
    </xf>
    <xf numFmtId="165" fontId="3" fillId="0" borderId="0" xfId="2" applyNumberFormat="1" applyFont="1" applyAlignment="1">
      <alignment wrapText="1"/>
    </xf>
    <xf numFmtId="165" fontId="7" fillId="0" borderId="0" xfId="2" applyNumberFormat="1" applyFont="1" applyAlignment="1">
      <alignment wrapText="1"/>
    </xf>
    <xf numFmtId="164" fontId="2" fillId="0" borderId="0" xfId="1" applyNumberFormat="1" applyFont="1"/>
    <xf numFmtId="165" fontId="6" fillId="0" borderId="0" xfId="2" applyNumberFormat="1" applyFont="1" applyAlignment="1">
      <alignment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165" fontId="3" fillId="0" borderId="0" xfId="2" applyNumberFormat="1" applyFont="1" applyFill="1" applyAlignment="1">
      <alignment vertical="top"/>
    </xf>
    <xf numFmtId="164" fontId="0" fillId="0" borderId="0" xfId="1" applyNumberFormat="1" applyFont="1" applyFill="1" applyAlignment="1">
      <alignment vertical="top"/>
    </xf>
    <xf numFmtId="165" fontId="3" fillId="0" borderId="0" xfId="2" applyNumberFormat="1" applyFont="1" applyAlignment="1">
      <alignment vertical="top"/>
    </xf>
    <xf numFmtId="164" fontId="0" fillId="0" borderId="0" xfId="1" applyNumberFormat="1" applyFont="1" applyAlignment="1">
      <alignment vertical="top"/>
    </xf>
    <xf numFmtId="3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7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17" fontId="3" fillId="0" borderId="0" xfId="0" applyNumberFormat="1" applyFont="1" applyAlignment="1">
      <alignment vertical="top" wrapText="1"/>
    </xf>
    <xf numFmtId="165" fontId="2" fillId="0" borderId="0" xfId="2" applyNumberFormat="1" applyFont="1"/>
    <xf numFmtId="165" fontId="3" fillId="0" borderId="0" xfId="0" applyNumberFormat="1" applyFont="1" applyAlignment="1">
      <alignment wrapText="1"/>
    </xf>
    <xf numFmtId="3" fontId="0" fillId="0" borderId="0" xfId="0" applyNumberFormat="1" applyAlignment="1">
      <alignment vertical="top"/>
    </xf>
    <xf numFmtId="0" fontId="0" fillId="0" borderId="0" xfId="0" applyAlignment="1">
      <alignment vertical="center" wrapText="1"/>
    </xf>
    <xf numFmtId="164" fontId="0" fillId="0" borderId="0" xfId="1" applyNumberFormat="1" applyFont="1" applyFill="1" applyAlignment="1">
      <alignment vertical="center" wrapText="1"/>
    </xf>
    <xf numFmtId="164" fontId="2" fillId="0" borderId="0" xfId="1" applyNumberFormat="1" applyFont="1" applyFill="1" applyAlignment="1">
      <alignment wrapText="1"/>
    </xf>
    <xf numFmtId="165" fontId="1" fillId="0" borderId="0" xfId="2" applyNumberFormat="1" applyFont="1" applyFill="1"/>
    <xf numFmtId="166" fontId="0" fillId="0" borderId="0" xfId="0" applyNumberFormat="1"/>
  </cellXfs>
  <cellStyles count="3">
    <cellStyle name="Migliaia" xfId="2" builtinId="3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ites/Monitoraggioretail-dati/Documenti%20condivisi/General/3.%20Rapporto%20annuale/2023/FILE%20MASTER%20PER%20ELABORAZIONI/Qualit&#224;%20della%20vendita/Elaborazioni/G-GR-QC-279-280-281-282%20reclami%20capacit&#224;.xlsx" TargetMode="External"/><Relationship Id="rId2" Type="http://schemas.openxmlformats.org/officeDocument/2006/relationships/externalLinkPath" Target="https://arera.sharepoint.com/sites/Monitoraggioretail-dati/Documenti%20condivisi/General/3.%20Rapporto%20annuale/2023/FILE%20MASTER%20PER%20ELABORAZIONI/Qualit&#224;%20della%20vendita/Elaborazioni/G-GR-QC-279-280-281-282%20reclami%20capacit&#224;.xlsx" TargetMode="External"/><Relationship Id="rId1" Type="http://schemas.openxmlformats.org/officeDocument/2006/relationships/externalLinkPath" Target="/sites/Monitoraggioretail-dati/Documenti%20condivisi/General/3.%20Rapporto%20annuale/2023/FILE%20MASTER%20PER%20ELABORAZIONI/Qualit&#224;%20della%20vendita/Elaborazioni/G-GR-QC-279-280-281-282%20reclami%20capacit&#2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CLAMI PER TIPO CL 2023"/>
      <sheetName val="RICH INFO PER TIPO CL 2023"/>
      <sheetName val="dati 2023"/>
      <sheetName val="capacità risposta"/>
      <sheetName val="dati 2023 rec"/>
      <sheetName val="NUOVO GRAFICO RDInfo gas 23"/>
      <sheetName val="NUOVO GRAFICO RECLAMI gas 23"/>
      <sheetName val="Reclamosità BP GAS-279"/>
      <sheetName val="Cap risp reclami BP GAS-280"/>
      <sheetName val="CLIENTI PER DETT 2023"/>
      <sheetName val="RECLAMI PER TIPO CL 2023 (2)"/>
      <sheetName val="Dati 2023 bolle"/>
      <sheetName val="pivot per grafico a bolle 23"/>
      <sheetName val="DB reclamosità GAS 23"/>
      <sheetName val="Grafico a Bolle GAS 2023"/>
      <sheetName val="Indici per operatore GAS-281"/>
      <sheetName val="2023 reclami per argomento"/>
      <sheetName val="Reclami per argomento GAS-282"/>
    </sheetNames>
    <sheetDataSet>
      <sheetData sheetId="0" refreshError="1"/>
      <sheetData sheetId="1" refreshError="1"/>
      <sheetData sheetId="2" refreshError="1"/>
      <sheetData sheetId="3">
        <row r="5">
          <cell r="C5">
            <v>130035</v>
          </cell>
          <cell r="E5">
            <v>0.8244780251470758</v>
          </cell>
        </row>
        <row r="13">
          <cell r="C13">
            <v>22409</v>
          </cell>
          <cell r="E13">
            <v>0.77857110982194655</v>
          </cell>
        </row>
      </sheetData>
      <sheetData sheetId="4">
        <row r="5">
          <cell r="G5">
            <v>1.1631066696768114E-2</v>
          </cell>
        </row>
        <row r="6">
          <cell r="G6">
            <v>3.8498541422568263E-3</v>
          </cell>
        </row>
      </sheetData>
      <sheetData sheetId="5" refreshError="1"/>
      <sheetData sheetId="6" refreshError="1"/>
      <sheetData sheetId="7">
        <row r="20">
          <cell r="B20">
            <v>130035</v>
          </cell>
          <cell r="C20">
            <v>22409</v>
          </cell>
          <cell r="D20">
            <v>152444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3">
          <cell r="C13">
            <v>13077</v>
          </cell>
          <cell r="D13">
            <v>65379</v>
          </cell>
          <cell r="E13">
            <v>25567</v>
          </cell>
          <cell r="F13">
            <v>4954</v>
          </cell>
          <cell r="G13">
            <v>27626</v>
          </cell>
          <cell r="I13">
            <v>136603</v>
          </cell>
        </row>
        <row r="14">
          <cell r="C14">
            <v>480</v>
          </cell>
          <cell r="D14">
            <v>13684</v>
          </cell>
          <cell r="E14">
            <v>2851</v>
          </cell>
          <cell r="F14">
            <v>313</v>
          </cell>
          <cell r="G14">
            <v>5434</v>
          </cell>
          <cell r="I14">
            <v>22762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A22" sqref="A22"/>
    </sheetView>
  </sheetViews>
  <sheetFormatPr defaultColWidth="13.26953125" defaultRowHeight="14.5" x14ac:dyDescent="0.35"/>
  <cols>
    <col min="1" max="1" width="13.26953125" style="25"/>
    <col min="2" max="8" width="15.7265625" style="25" customWidth="1"/>
    <col min="9" max="16384" width="13.26953125" style="25"/>
  </cols>
  <sheetData>
    <row r="1" spans="1:8" s="24" customFormat="1" x14ac:dyDescent="0.35">
      <c r="A1" s="24" t="s">
        <v>0</v>
      </c>
      <c r="B1" s="25" t="s">
        <v>1</v>
      </c>
    </row>
    <row r="2" spans="1:8" s="24" customFormat="1" x14ac:dyDescent="0.35">
      <c r="A2" s="24" t="s">
        <v>2</v>
      </c>
      <c r="B2" s="24" t="s">
        <v>3</v>
      </c>
    </row>
    <row r="3" spans="1:8" s="24" customFormat="1" x14ac:dyDescent="0.35">
      <c r="A3" s="24" t="s">
        <v>4</v>
      </c>
      <c r="B3" s="24" t="s">
        <v>5</v>
      </c>
    </row>
    <row r="4" spans="1:8" s="24" customFormat="1" x14ac:dyDescent="0.35">
      <c r="A4" s="24" t="s">
        <v>6</v>
      </c>
      <c r="B4" s="24" t="s">
        <v>7</v>
      </c>
    </row>
    <row r="5" spans="1:8" s="24" customFormat="1" x14ac:dyDescent="0.35">
      <c r="A5" s="24" t="s">
        <v>8</v>
      </c>
      <c r="B5" s="24" t="s">
        <v>9</v>
      </c>
    </row>
    <row r="6" spans="1:8" s="24" customFormat="1" x14ac:dyDescent="0.35">
      <c r="A6" s="24" t="s">
        <v>10</v>
      </c>
      <c r="B6" s="24" t="s">
        <v>11</v>
      </c>
    </row>
    <row r="7" spans="1:8" s="24" customFormat="1" x14ac:dyDescent="0.35"/>
    <row r="8" spans="1:8" s="26" customFormat="1" ht="72.5" x14ac:dyDescent="0.35">
      <c r="A8" s="26" t="s">
        <v>12</v>
      </c>
      <c r="B8" s="27" t="s">
        <v>13</v>
      </c>
      <c r="C8" s="27" t="s">
        <v>14</v>
      </c>
      <c r="D8" s="27" t="s">
        <v>15</v>
      </c>
      <c r="E8" s="27" t="s">
        <v>16</v>
      </c>
      <c r="F8" s="27" t="s">
        <v>17</v>
      </c>
      <c r="G8" s="27" t="s">
        <v>18</v>
      </c>
      <c r="H8" s="27" t="s">
        <v>19</v>
      </c>
    </row>
    <row r="9" spans="1:8" x14ac:dyDescent="0.35">
      <c r="A9" s="25">
        <v>2012</v>
      </c>
      <c r="B9" s="28">
        <v>73667</v>
      </c>
      <c r="C9" s="28">
        <v>91330</v>
      </c>
      <c r="D9" s="28"/>
      <c r="E9" s="28">
        <v>164997</v>
      </c>
      <c r="F9" s="29">
        <v>2.4957778067633014E-2</v>
      </c>
      <c r="G9" s="29">
        <v>6.0461473370570576E-3</v>
      </c>
    </row>
    <row r="10" spans="1:8" x14ac:dyDescent="0.35">
      <c r="A10" s="25">
        <v>2013</v>
      </c>
      <c r="B10" s="28">
        <v>87519</v>
      </c>
      <c r="C10" s="28">
        <v>98032</v>
      </c>
      <c r="D10" s="28"/>
      <c r="E10" s="28">
        <v>185551</v>
      </c>
      <c r="F10" s="29">
        <v>2.1758668449744285E-2</v>
      </c>
      <c r="G10" s="29">
        <v>7.4895985861808834E-3</v>
      </c>
    </row>
    <row r="11" spans="1:8" x14ac:dyDescent="0.35">
      <c r="A11" s="25">
        <v>2014</v>
      </c>
      <c r="B11" s="28">
        <v>103685</v>
      </c>
      <c r="C11" s="28">
        <v>83949</v>
      </c>
      <c r="D11" s="28"/>
      <c r="E11" s="28">
        <v>187634</v>
      </c>
      <c r="F11" s="29">
        <v>1.8030352063556708E-2</v>
      </c>
      <c r="G11" s="29">
        <v>7.4725936359625903E-3</v>
      </c>
    </row>
    <row r="12" spans="1:8" x14ac:dyDescent="0.35">
      <c r="A12" s="25">
        <v>2015</v>
      </c>
      <c r="B12" s="28">
        <v>88793</v>
      </c>
      <c r="C12" s="28">
        <v>70352</v>
      </c>
      <c r="D12" s="28"/>
      <c r="E12" s="28">
        <v>159145</v>
      </c>
      <c r="F12" s="29">
        <v>1.7426629675336706E-2</v>
      </c>
      <c r="G12" s="29">
        <v>5.7821136324391438E-3</v>
      </c>
    </row>
    <row r="13" spans="1:8" x14ac:dyDescent="0.35">
      <c r="A13" s="25">
        <v>2016</v>
      </c>
      <c r="B13" s="28">
        <v>90682</v>
      </c>
      <c r="C13" s="28">
        <v>57242</v>
      </c>
      <c r="D13" s="28"/>
      <c r="E13" s="28">
        <v>147924</v>
      </c>
      <c r="F13" s="29">
        <v>1.3301189013237237E-2</v>
      </c>
      <c r="G13" s="29">
        <v>5.8162461669645305E-3</v>
      </c>
    </row>
    <row r="14" spans="1:8" x14ac:dyDescent="0.35">
      <c r="A14" s="25">
        <v>2017</v>
      </c>
      <c r="B14" s="28">
        <v>121294</v>
      </c>
      <c r="C14" s="28">
        <v>75609</v>
      </c>
      <c r="D14" s="28"/>
      <c r="E14" s="28">
        <v>196903</v>
      </c>
      <c r="F14" s="29">
        <v>1.2944081044840707E-2</v>
      </c>
      <c r="G14" s="29">
        <v>5.5830276078865501E-3</v>
      </c>
    </row>
    <row r="15" spans="1:8" x14ac:dyDescent="0.35">
      <c r="A15" s="25">
        <v>2018</v>
      </c>
      <c r="B15" s="28">
        <v>118767</v>
      </c>
      <c r="C15" s="28">
        <v>58598</v>
      </c>
      <c r="D15" s="28"/>
      <c r="E15" s="28">
        <v>177365</v>
      </c>
      <c r="F15" s="29">
        <v>1.3451240315643813E-2</v>
      </c>
      <c r="G15" s="29">
        <v>7.0681991109687236E-3</v>
      </c>
    </row>
    <row r="16" spans="1:8" x14ac:dyDescent="0.35">
      <c r="A16" s="25">
        <v>2019</v>
      </c>
      <c r="B16" s="28">
        <v>127929</v>
      </c>
      <c r="C16" s="28">
        <v>49446</v>
      </c>
      <c r="D16" s="28"/>
      <c r="E16" s="28">
        <v>177375</v>
      </c>
      <c r="F16" s="29">
        <v>1.1964562247727951E-2</v>
      </c>
      <c r="G16" s="29">
        <v>6.1344951398337611E-3</v>
      </c>
    </row>
    <row r="17" spans="1:8" x14ac:dyDescent="0.35">
      <c r="A17" s="25">
        <v>2020</v>
      </c>
      <c r="B17" s="28">
        <v>122570</v>
      </c>
      <c r="C17" s="28">
        <v>35090</v>
      </c>
      <c r="D17" s="28"/>
      <c r="E17" s="28">
        <v>157660</v>
      </c>
      <c r="F17" s="29">
        <v>1.0638065196576377E-2</v>
      </c>
      <c r="G17" s="29">
        <v>4.7920929510347522E-3</v>
      </c>
    </row>
    <row r="18" spans="1:8" x14ac:dyDescent="0.35">
      <c r="A18" s="25">
        <v>2021</v>
      </c>
      <c r="B18" s="30">
        <v>111833</v>
      </c>
      <c r="C18" s="30">
        <v>28943</v>
      </c>
      <c r="D18" s="30"/>
      <c r="E18" s="30">
        <v>140776</v>
      </c>
      <c r="F18" s="31">
        <v>1.0950874264265499E-2</v>
      </c>
      <c r="G18" s="31">
        <v>4.4961634333581992E-3</v>
      </c>
    </row>
    <row r="19" spans="1:8" x14ac:dyDescent="0.35">
      <c r="A19" s="25">
        <v>2022</v>
      </c>
      <c r="B19" s="30">
        <v>120317</v>
      </c>
      <c r="C19" s="30">
        <v>28799</v>
      </c>
      <c r="D19" s="30"/>
      <c r="E19" s="30">
        <f>+C19+B19</f>
        <v>149116</v>
      </c>
      <c r="F19" s="29">
        <v>1.0761833750567532E-2</v>
      </c>
      <c r="G19" s="29">
        <v>4.9476527039517314E-3</v>
      </c>
    </row>
    <row r="20" spans="1:8" x14ac:dyDescent="0.35">
      <c r="A20" s="25">
        <v>2023</v>
      </c>
      <c r="B20" s="32">
        <f>'[1]capacità risposta'!C5</f>
        <v>130035</v>
      </c>
      <c r="C20" s="32">
        <f>'[1]capacità risposta'!C13</f>
        <v>22409</v>
      </c>
      <c r="D20" s="32"/>
      <c r="E20" s="32">
        <f>SUM(B20:C20)</f>
        <v>152444</v>
      </c>
      <c r="F20" s="31">
        <f>'[1]dati 2023 rec'!G5</f>
        <v>1.1631066696768114E-2</v>
      </c>
      <c r="G20" s="31">
        <f>'[1]dati 2023 rec'!G6</f>
        <v>3.8498541422568263E-3</v>
      </c>
    </row>
    <row r="21" spans="1:8" x14ac:dyDescent="0.35">
      <c r="A21" s="25">
        <v>2024</v>
      </c>
      <c r="B21" s="32">
        <v>175508</v>
      </c>
      <c r="D21" s="32">
        <v>11107</v>
      </c>
      <c r="E21" s="32">
        <v>186615</v>
      </c>
      <c r="F21" s="31">
        <v>1.183489090481203E-2</v>
      </c>
      <c r="H21" s="31">
        <v>4.6326979970577964E-3</v>
      </c>
    </row>
    <row r="22" spans="1:8" x14ac:dyDescent="0.35">
      <c r="A22" s="25">
        <v>2025</v>
      </c>
      <c r="B22" s="32">
        <v>143231</v>
      </c>
      <c r="D22" s="32">
        <v>11337</v>
      </c>
      <c r="E22" s="32">
        <v>154568</v>
      </c>
      <c r="F22" s="31">
        <v>8.0976709243215286E-3</v>
      </c>
      <c r="H22" s="31">
        <v>5.0475480298898473E-3</v>
      </c>
    </row>
    <row r="23" spans="1:8" x14ac:dyDescent="0.35">
      <c r="B23" s="33"/>
      <c r="C23" s="33"/>
      <c r="D23" s="33"/>
    </row>
    <row r="24" spans="1:8" x14ac:dyDescent="0.35">
      <c r="B24" s="33"/>
      <c r="C24" s="33"/>
      <c r="D24" s="33"/>
    </row>
    <row r="25" spans="1:8" x14ac:dyDescent="0.35">
      <c r="B25" s="33"/>
      <c r="C25" s="33"/>
      <c r="D25" s="33"/>
    </row>
    <row r="26" spans="1:8" x14ac:dyDescent="0.35">
      <c r="B26" s="33"/>
      <c r="C26" s="33"/>
      <c r="D26" s="33"/>
    </row>
    <row r="27" spans="1:8" x14ac:dyDescent="0.35">
      <c r="B27" s="33"/>
      <c r="C27" s="33"/>
      <c r="D27" s="33"/>
    </row>
    <row r="28" spans="1:8" x14ac:dyDescent="0.35">
      <c r="B28" s="33"/>
      <c r="C28" s="33"/>
      <c r="D28" s="33"/>
    </row>
    <row r="29" spans="1:8" x14ac:dyDescent="0.35">
      <c r="B29" s="33"/>
      <c r="C29" s="33"/>
      <c r="D29" s="33"/>
    </row>
    <row r="30" spans="1:8" x14ac:dyDescent="0.35">
      <c r="A30" s="34"/>
      <c r="B30" s="34"/>
      <c r="C30" s="34"/>
      <c r="D30" s="34"/>
    </row>
    <row r="31" spans="1:8" x14ac:dyDescent="0.35">
      <c r="A31" s="34"/>
      <c r="B31" s="34"/>
      <c r="C31" s="34"/>
      <c r="D31" s="34"/>
    </row>
    <row r="32" spans="1:8" x14ac:dyDescent="0.35">
      <c r="A32" s="34"/>
      <c r="B32" s="34"/>
      <c r="C32" s="34"/>
      <c r="D32" s="33"/>
    </row>
    <row r="33" spans="1:4" x14ac:dyDescent="0.35">
      <c r="B33" s="34"/>
      <c r="C33" s="34"/>
      <c r="D33" s="33"/>
    </row>
    <row r="34" spans="1:4" x14ac:dyDescent="0.35">
      <c r="B34" s="34"/>
      <c r="C34" s="34"/>
      <c r="D34" s="34"/>
    </row>
    <row r="35" spans="1:4" x14ac:dyDescent="0.35">
      <c r="B35" s="34"/>
      <c r="C35" s="34"/>
      <c r="D35" s="34"/>
    </row>
    <row r="36" spans="1:4" x14ac:dyDescent="0.35">
      <c r="A36" s="35"/>
    </row>
    <row r="37" spans="1:4" x14ac:dyDescent="0.35">
      <c r="A37" s="35"/>
      <c r="C37" s="36"/>
    </row>
    <row r="38" spans="1:4" x14ac:dyDescent="0.35">
      <c r="A38" s="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selection activeCell="B6" sqref="B6"/>
    </sheetView>
  </sheetViews>
  <sheetFormatPr defaultColWidth="9.1796875" defaultRowHeight="14.5" x14ac:dyDescent="0.35"/>
  <cols>
    <col min="1" max="1" width="12.54296875" style="25" customWidth="1"/>
    <col min="2" max="8" width="16.1796875" style="25" customWidth="1"/>
    <col min="9" max="9" width="13.1796875" style="25" bestFit="1" customWidth="1"/>
    <col min="10" max="10" width="13.54296875" style="25" bestFit="1" customWidth="1"/>
    <col min="11" max="11" width="13.1796875" style="25" bestFit="1" customWidth="1"/>
    <col min="12" max="12" width="12.81640625" style="25" bestFit="1" customWidth="1"/>
    <col min="13" max="13" width="13.54296875" style="25" bestFit="1" customWidth="1"/>
    <col min="14" max="14" width="12.81640625" style="25" bestFit="1" customWidth="1"/>
    <col min="15" max="15" width="13.54296875" style="25" bestFit="1" customWidth="1"/>
    <col min="16" max="16" width="13.453125" style="25" bestFit="1" customWidth="1"/>
    <col min="17" max="17" width="13.81640625" style="25" bestFit="1" customWidth="1"/>
    <col min="18" max="18" width="13.453125" style="25" bestFit="1" customWidth="1"/>
    <col min="19" max="19" width="14.1796875" style="25" bestFit="1" customWidth="1"/>
    <col min="20" max="22" width="13.1796875" style="25" bestFit="1" customWidth="1"/>
    <col min="23" max="23" width="13.54296875" style="25" bestFit="1" customWidth="1"/>
    <col min="24" max="24" width="12.81640625" style="25" bestFit="1" customWidth="1"/>
    <col min="25" max="25" width="13.54296875" style="25" bestFit="1" customWidth="1"/>
    <col min="26" max="26" width="12.81640625" style="25" bestFit="1" customWidth="1"/>
    <col min="27" max="27" width="13.54296875" style="25" bestFit="1" customWidth="1"/>
    <col min="28" max="29" width="13.453125" style="25" bestFit="1" customWidth="1"/>
    <col min="30" max="30" width="13.81640625" style="25" bestFit="1" customWidth="1"/>
    <col min="31" max="31" width="14.1796875" style="25" bestFit="1" customWidth="1"/>
    <col min="32" max="33" width="13.1796875" style="25" bestFit="1" customWidth="1"/>
    <col min="34" max="34" width="13.54296875" style="25" bestFit="1" customWidth="1"/>
    <col min="35" max="35" width="13.1796875" style="25" bestFit="1" customWidth="1"/>
    <col min="36" max="36" width="12.81640625" style="25" bestFit="1" customWidth="1"/>
    <col min="37" max="37" width="13.54296875" style="25" bestFit="1" customWidth="1"/>
    <col min="38" max="38" width="12.81640625" style="25" bestFit="1" customWidth="1"/>
    <col min="39" max="39" width="13.54296875" style="25" bestFit="1" customWidth="1"/>
    <col min="40" max="40" width="13.81640625" style="25" bestFit="1" customWidth="1"/>
    <col min="41" max="42" width="13.453125" style="25" bestFit="1" customWidth="1"/>
    <col min="43" max="43" width="14.1796875" style="25" bestFit="1" customWidth="1"/>
    <col min="44" max="44" width="13.1796875" style="25" bestFit="1" customWidth="1"/>
    <col min="45" max="45" width="13.54296875" style="25" bestFit="1" customWidth="1"/>
    <col min="46" max="47" width="13.1796875" style="25" bestFit="1" customWidth="1"/>
    <col min="48" max="48" width="13.54296875" style="25" bestFit="1" customWidth="1"/>
    <col min="49" max="50" width="12.81640625" style="25" bestFit="1" customWidth="1"/>
    <col min="51" max="51" width="13.54296875" style="25" bestFit="1" customWidth="1"/>
    <col min="52" max="52" width="13.453125" style="25" bestFit="1" customWidth="1"/>
    <col min="53" max="53" width="13.81640625" style="25" bestFit="1" customWidth="1"/>
    <col min="54" max="54" width="13.453125" style="25" bestFit="1" customWidth="1"/>
    <col min="55" max="55" width="14.1796875" style="25" bestFit="1" customWidth="1"/>
    <col min="56" max="57" width="13.1796875" style="25" bestFit="1" customWidth="1"/>
    <col min="58" max="58" width="13.54296875" style="25" bestFit="1" customWidth="1"/>
    <col min="59" max="59" width="13.1796875" style="25" bestFit="1" customWidth="1"/>
    <col min="60" max="60" width="12.81640625" style="25" bestFit="1" customWidth="1"/>
    <col min="61" max="61" width="13.54296875" style="25" bestFit="1" customWidth="1"/>
    <col min="62" max="62" width="12.81640625" style="25" bestFit="1" customWidth="1"/>
    <col min="63" max="63" width="13.54296875" style="25" bestFit="1" customWidth="1"/>
    <col min="64" max="64" width="13.453125" style="25" bestFit="1" customWidth="1"/>
    <col min="65" max="65" width="13.81640625" style="25" bestFit="1" customWidth="1"/>
    <col min="66" max="66" width="13.453125" style="25" bestFit="1" customWidth="1"/>
    <col min="67" max="67" width="14.1796875" style="25" bestFit="1" customWidth="1"/>
    <col min="68" max="69" width="13.1796875" style="25" bestFit="1" customWidth="1"/>
    <col min="70" max="70" width="13.54296875" style="25" bestFit="1" customWidth="1"/>
    <col min="71" max="71" width="13.1796875" style="25" bestFit="1" customWidth="1"/>
    <col min="72" max="72" width="12.81640625" style="25" bestFit="1" customWidth="1"/>
    <col min="73" max="73" width="13.54296875" style="25" bestFit="1" customWidth="1"/>
    <col min="74" max="74" width="12.81640625" style="25" bestFit="1" customWidth="1"/>
    <col min="75" max="75" width="13.54296875" style="25" bestFit="1" customWidth="1"/>
    <col min="76" max="77" width="13.453125" style="25" bestFit="1" customWidth="1"/>
    <col min="78" max="78" width="13.81640625" style="25" bestFit="1" customWidth="1"/>
    <col min="79" max="79" width="14.1796875" style="25" bestFit="1" customWidth="1"/>
    <col min="80" max="81" width="13.1796875" style="25" bestFit="1" customWidth="1"/>
    <col min="82" max="82" width="13.54296875" style="25" bestFit="1" customWidth="1"/>
    <col min="83" max="83" width="13.1796875" style="25" bestFit="1" customWidth="1"/>
    <col min="84" max="84" width="13.54296875" style="25" bestFit="1" customWidth="1"/>
    <col min="85" max="86" width="12.81640625" style="25" bestFit="1" customWidth="1"/>
    <col min="87" max="87" width="13.54296875" style="25" bestFit="1" customWidth="1"/>
    <col min="88" max="88" width="13.453125" style="25" bestFit="1" customWidth="1"/>
    <col min="89" max="89" width="13.81640625" style="25" bestFit="1" customWidth="1"/>
    <col min="90" max="90" width="13.453125" style="25" bestFit="1" customWidth="1"/>
    <col min="91" max="91" width="14.1796875" style="25" bestFit="1" customWidth="1"/>
    <col min="92" max="93" width="13.1796875" style="25" bestFit="1" customWidth="1"/>
    <col min="94" max="94" width="13.54296875" style="25" bestFit="1" customWidth="1"/>
    <col min="95" max="95" width="13.1796875" style="25" bestFit="1" customWidth="1"/>
    <col min="96" max="96" width="12.81640625" style="25" bestFit="1" customWidth="1"/>
    <col min="97" max="97" width="13.54296875" style="25" bestFit="1" customWidth="1"/>
    <col min="98" max="98" width="12.81640625" style="25" bestFit="1" customWidth="1"/>
    <col min="99" max="16384" width="9.1796875" style="25"/>
  </cols>
  <sheetData>
    <row r="1" spans="1:13" s="24" customFormat="1" x14ac:dyDescent="0.35">
      <c r="A1" s="24" t="s">
        <v>0</v>
      </c>
      <c r="B1" s="25" t="s">
        <v>20</v>
      </c>
    </row>
    <row r="2" spans="1:13" s="24" customFormat="1" x14ac:dyDescent="0.35">
      <c r="A2" s="24" t="s">
        <v>2</v>
      </c>
      <c r="B2" s="24" t="s">
        <v>3</v>
      </c>
    </row>
    <row r="3" spans="1:13" s="24" customFormat="1" x14ac:dyDescent="0.35">
      <c r="A3" s="24" t="s">
        <v>4</v>
      </c>
      <c r="B3" s="24" t="s">
        <v>5</v>
      </c>
    </row>
    <row r="4" spans="1:13" s="24" customFormat="1" x14ac:dyDescent="0.35">
      <c r="A4" s="24" t="s">
        <v>6</v>
      </c>
      <c r="B4" s="24" t="s">
        <v>7</v>
      </c>
    </row>
    <row r="5" spans="1:13" s="24" customFormat="1" x14ac:dyDescent="0.35">
      <c r="A5" s="24" t="s">
        <v>8</v>
      </c>
      <c r="B5" s="24" t="s">
        <v>21</v>
      </c>
    </row>
    <row r="6" spans="1:13" s="24" customFormat="1" x14ac:dyDescent="0.35">
      <c r="A6" s="24" t="s">
        <v>10</v>
      </c>
      <c r="B6" s="24" t="s">
        <v>11</v>
      </c>
    </row>
    <row r="7" spans="1:13" s="24" customFormat="1" x14ac:dyDescent="0.35"/>
    <row r="8" spans="1:13" s="26" customFormat="1" ht="72.5" x14ac:dyDescent="0.35">
      <c r="A8" s="27" t="s">
        <v>12</v>
      </c>
      <c r="B8" s="27" t="s">
        <v>22</v>
      </c>
      <c r="C8" s="27" t="s">
        <v>23</v>
      </c>
      <c r="D8" s="27" t="s">
        <v>24</v>
      </c>
      <c r="E8" s="27" t="s">
        <v>25</v>
      </c>
      <c r="F8" s="27" t="s">
        <v>26</v>
      </c>
      <c r="G8" s="27" t="s">
        <v>27</v>
      </c>
      <c r="H8" s="27" t="s">
        <v>28</v>
      </c>
    </row>
    <row r="9" spans="1:13" x14ac:dyDescent="0.35">
      <c r="A9" s="25">
        <v>2012</v>
      </c>
      <c r="B9" s="28">
        <v>73667</v>
      </c>
      <c r="C9" s="28">
        <v>91330</v>
      </c>
      <c r="D9" s="28"/>
      <c r="E9" s="28">
        <v>164997</v>
      </c>
      <c r="F9" s="29"/>
      <c r="G9" s="29"/>
    </row>
    <row r="10" spans="1:13" x14ac:dyDescent="0.35">
      <c r="A10" s="25">
        <v>2013</v>
      </c>
      <c r="B10" s="28">
        <v>87519</v>
      </c>
      <c r="C10" s="28">
        <v>98032</v>
      </c>
      <c r="D10" s="28"/>
      <c r="E10" s="28">
        <v>185551</v>
      </c>
      <c r="F10" s="29"/>
      <c r="G10" s="29"/>
      <c r="L10" s="29"/>
      <c r="M10" s="29"/>
    </row>
    <row r="11" spans="1:13" x14ac:dyDescent="0.35">
      <c r="A11" s="25">
        <v>2014</v>
      </c>
      <c r="B11" s="28">
        <v>103685</v>
      </c>
      <c r="C11" s="28">
        <v>83949</v>
      </c>
      <c r="D11" s="28"/>
      <c r="E11" s="28">
        <v>187634</v>
      </c>
      <c r="F11" s="29"/>
      <c r="G11" s="29"/>
      <c r="L11" s="29"/>
      <c r="M11" s="29"/>
    </row>
    <row r="12" spans="1:13" x14ac:dyDescent="0.35">
      <c r="A12" s="25">
        <v>2015</v>
      </c>
      <c r="B12" s="28">
        <v>88793</v>
      </c>
      <c r="C12" s="28">
        <v>70352</v>
      </c>
      <c r="D12" s="28"/>
      <c r="E12" s="28">
        <v>159145</v>
      </c>
      <c r="F12" s="29"/>
      <c r="G12" s="29"/>
      <c r="L12" s="29"/>
      <c r="M12" s="29"/>
    </row>
    <row r="13" spans="1:13" x14ac:dyDescent="0.35">
      <c r="A13" s="25">
        <v>2016</v>
      </c>
      <c r="B13" s="28">
        <v>90682</v>
      </c>
      <c r="C13" s="28">
        <v>57242</v>
      </c>
      <c r="D13" s="28"/>
      <c r="E13" s="28">
        <v>147924</v>
      </c>
      <c r="F13" s="29"/>
      <c r="G13" s="29"/>
      <c r="L13" s="29"/>
      <c r="M13" s="29"/>
    </row>
    <row r="14" spans="1:13" x14ac:dyDescent="0.35">
      <c r="A14" s="25">
        <v>2017</v>
      </c>
      <c r="B14" s="28">
        <v>121294</v>
      </c>
      <c r="C14" s="28">
        <v>75609</v>
      </c>
      <c r="D14" s="28"/>
      <c r="E14" s="28">
        <v>196903</v>
      </c>
      <c r="F14" s="29">
        <v>0.84858654625650498</v>
      </c>
      <c r="G14" s="29">
        <v>0.79565819725284448</v>
      </c>
      <c r="L14" s="29"/>
      <c r="M14" s="29"/>
    </row>
    <row r="15" spans="1:13" x14ac:dyDescent="0.35">
      <c r="A15" s="25">
        <v>2018</v>
      </c>
      <c r="B15" s="28">
        <v>118767</v>
      </c>
      <c r="C15" s="28">
        <v>58598</v>
      </c>
      <c r="D15" s="28"/>
      <c r="E15" s="28">
        <v>177365</v>
      </c>
      <c r="F15" s="29">
        <v>0.87321816972551281</v>
      </c>
      <c r="G15" s="29">
        <v>0.88056915369816569</v>
      </c>
      <c r="L15" s="29"/>
      <c r="M15" s="29"/>
    </row>
    <row r="16" spans="1:13" x14ac:dyDescent="0.35">
      <c r="A16" s="25">
        <v>2019</v>
      </c>
      <c r="B16" s="28">
        <v>127929</v>
      </c>
      <c r="C16" s="28">
        <v>49446</v>
      </c>
      <c r="D16" s="28"/>
      <c r="E16" s="28">
        <v>177375</v>
      </c>
      <c r="F16" s="29">
        <v>0.80507156313267514</v>
      </c>
      <c r="G16" s="29">
        <v>0.83897585244509165</v>
      </c>
    </row>
    <row r="17" spans="1:12" x14ac:dyDescent="0.35">
      <c r="A17" s="25">
        <v>2020</v>
      </c>
      <c r="B17" s="28">
        <v>122570</v>
      </c>
      <c r="C17" s="28">
        <v>35090</v>
      </c>
      <c r="D17" s="28"/>
      <c r="E17" s="28">
        <v>157660</v>
      </c>
      <c r="F17" s="29">
        <v>0.87458595088520841</v>
      </c>
      <c r="G17" s="29">
        <v>0.8698489598176119</v>
      </c>
    </row>
    <row r="18" spans="1:12" x14ac:dyDescent="0.35">
      <c r="A18" s="25">
        <v>2021</v>
      </c>
      <c r="B18" s="28">
        <v>111833</v>
      </c>
      <c r="C18" s="28">
        <v>28943</v>
      </c>
      <c r="D18" s="28"/>
      <c r="E18" s="28">
        <v>140776</v>
      </c>
      <c r="F18" s="29">
        <v>0.77800000000000002</v>
      </c>
      <c r="G18" s="29">
        <v>0.85982793767059396</v>
      </c>
    </row>
    <row r="19" spans="1:12" x14ac:dyDescent="0.35">
      <c r="A19" s="33">
        <v>2022</v>
      </c>
      <c r="B19" s="28">
        <v>120317</v>
      </c>
      <c r="C19" s="28">
        <v>28799</v>
      </c>
      <c r="D19" s="28"/>
      <c r="E19" s="28">
        <f>+B19+C19</f>
        <v>149116</v>
      </c>
      <c r="F19" s="29">
        <v>0.72867508332155884</v>
      </c>
      <c r="G19" s="29">
        <v>0.83888329455883881</v>
      </c>
    </row>
    <row r="20" spans="1:12" x14ac:dyDescent="0.35">
      <c r="A20" s="25">
        <v>2023</v>
      </c>
      <c r="B20" s="40">
        <f>'[1]Reclamosità BP GAS-279'!B20</f>
        <v>130035</v>
      </c>
      <c r="C20" s="40">
        <f>'[1]Reclamosità BP GAS-279'!C20</f>
        <v>22409</v>
      </c>
      <c r="D20" s="40"/>
      <c r="E20" s="40">
        <f>'[1]Reclamosità BP GAS-279'!D20</f>
        <v>152444</v>
      </c>
      <c r="F20" s="29">
        <f>'[1]capacità risposta'!E5</f>
        <v>0.8244780251470758</v>
      </c>
      <c r="G20" s="29">
        <f>'[1]capacità risposta'!E13</f>
        <v>0.77857110982194655</v>
      </c>
    </row>
    <row r="21" spans="1:12" x14ac:dyDescent="0.35">
      <c r="A21" s="25">
        <v>2024</v>
      </c>
      <c r="B21" s="40">
        <v>175508</v>
      </c>
      <c r="D21" s="40">
        <v>11107</v>
      </c>
      <c r="E21" s="40">
        <v>186615</v>
      </c>
      <c r="F21" s="29">
        <v>0.88783987054721147</v>
      </c>
      <c r="H21" s="29">
        <v>0.84568290267398938</v>
      </c>
    </row>
    <row r="22" spans="1:12" x14ac:dyDescent="0.35">
      <c r="A22" s="25">
        <v>2025</v>
      </c>
      <c r="B22" s="40">
        <v>143231</v>
      </c>
      <c r="C22" s="25" t="s">
        <v>29</v>
      </c>
      <c r="D22" s="40">
        <v>11337</v>
      </c>
      <c r="E22" s="40">
        <v>154568</v>
      </c>
      <c r="F22" s="29">
        <v>0.96359028422618009</v>
      </c>
      <c r="G22" s="25" t="s">
        <v>29</v>
      </c>
      <c r="H22" s="29">
        <v>0.91029372849960311</v>
      </c>
      <c r="L22" s="29"/>
    </row>
    <row r="23" spans="1:12" x14ac:dyDescent="0.35">
      <c r="B23" s="33"/>
      <c r="C23" s="33"/>
      <c r="D23" s="33"/>
      <c r="L23" s="29"/>
    </row>
    <row r="24" spans="1:12" x14ac:dyDescent="0.35">
      <c r="B24" s="33"/>
      <c r="C24" s="33"/>
      <c r="D24" s="33"/>
      <c r="L24" s="29"/>
    </row>
    <row r="25" spans="1:12" x14ac:dyDescent="0.35">
      <c r="B25" s="33"/>
      <c r="C25" s="33"/>
      <c r="D25" s="33"/>
      <c r="L25" s="29"/>
    </row>
    <row r="26" spans="1:12" x14ac:dyDescent="0.35">
      <c r="B26" s="33"/>
      <c r="C26" s="33"/>
      <c r="D26" s="33"/>
      <c r="L26" s="29"/>
    </row>
    <row r="27" spans="1:12" x14ac:dyDescent="0.35">
      <c r="B27" s="33"/>
      <c r="C27" s="33"/>
      <c r="D27" s="33"/>
      <c r="L27" s="29"/>
    </row>
    <row r="28" spans="1:12" x14ac:dyDescent="0.35">
      <c r="B28" s="33"/>
      <c r="C28" s="33"/>
      <c r="D28" s="33"/>
    </row>
    <row r="29" spans="1:12" x14ac:dyDescent="0.35">
      <c r="B29" s="33"/>
      <c r="C29" s="33"/>
      <c r="D29" s="33"/>
    </row>
    <row r="30" spans="1:12" x14ac:dyDescent="0.35">
      <c r="A30" s="34"/>
      <c r="B30" s="34"/>
      <c r="C30" s="33"/>
      <c r="D30" s="33"/>
    </row>
    <row r="31" spans="1:12" x14ac:dyDescent="0.35">
      <c r="A31" s="34"/>
      <c r="B31" s="34"/>
      <c r="C31" s="34"/>
      <c r="D31" s="34"/>
    </row>
    <row r="32" spans="1:12" x14ac:dyDescent="0.35">
      <c r="A32" s="34"/>
      <c r="B32" s="34"/>
      <c r="C32" s="34"/>
      <c r="D32" s="34"/>
    </row>
    <row r="33" spans="1:4" x14ac:dyDescent="0.35">
      <c r="B33" s="34"/>
      <c r="C33" s="34"/>
      <c r="D33" s="33"/>
    </row>
    <row r="34" spans="1:4" x14ac:dyDescent="0.35">
      <c r="B34" s="34"/>
      <c r="C34" s="34"/>
      <c r="D34" s="33"/>
    </row>
    <row r="35" spans="1:4" x14ac:dyDescent="0.35">
      <c r="B35" s="34"/>
      <c r="C35" s="34"/>
      <c r="D35" s="34"/>
    </row>
    <row r="36" spans="1:4" x14ac:dyDescent="0.35">
      <c r="A36" s="35"/>
      <c r="C36" s="34"/>
      <c r="D36" s="34"/>
    </row>
    <row r="37" spans="1:4" x14ac:dyDescent="0.35">
      <c r="A37" s="35"/>
    </row>
    <row r="38" spans="1:4" x14ac:dyDescent="0.35">
      <c r="A38" s="37"/>
      <c r="C38" s="3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7"/>
  <sheetViews>
    <sheetView workbookViewId="0">
      <pane ySplit="8" topLeftCell="A9" activePane="bottomLeft" state="frozen"/>
      <selection pane="bottomLeft" activeCell="C40" sqref="C40"/>
    </sheetView>
  </sheetViews>
  <sheetFormatPr defaultColWidth="9.1796875" defaultRowHeight="14.5" x14ac:dyDescent="0.35"/>
  <cols>
    <col min="1" max="1" width="25" customWidth="1"/>
    <col min="2" max="2" width="20.54296875" customWidth="1"/>
    <col min="3" max="3" width="19.54296875" style="15" customWidth="1"/>
    <col min="4" max="4" width="20.81640625" style="15" customWidth="1"/>
    <col min="5" max="5" width="13.1796875" bestFit="1" customWidth="1"/>
    <col min="6" max="6" width="31.453125" customWidth="1"/>
    <col min="7" max="7" width="14.1796875" bestFit="1" customWidth="1"/>
    <col min="8" max="10" width="13.1796875" bestFit="1" customWidth="1"/>
    <col min="11" max="11" width="13.54296875" bestFit="1" customWidth="1"/>
    <col min="12" max="12" width="12.81640625" bestFit="1" customWidth="1"/>
    <col min="13" max="13" width="13.54296875" bestFit="1" customWidth="1"/>
    <col min="14" max="14" width="12.81640625" bestFit="1" customWidth="1"/>
    <col min="15" max="15" width="13.54296875" bestFit="1" customWidth="1"/>
    <col min="16" max="17" width="13.453125" bestFit="1" customWidth="1"/>
    <col min="18" max="18" width="13.81640625" bestFit="1" customWidth="1"/>
    <col min="19" max="19" width="14.1796875" bestFit="1" customWidth="1"/>
    <col min="20" max="21" width="13.1796875" bestFit="1" customWidth="1"/>
    <col min="22" max="22" width="13.54296875" bestFit="1" customWidth="1"/>
    <col min="23" max="23" width="13.1796875" bestFit="1" customWidth="1"/>
    <col min="24" max="24" width="12.81640625" bestFit="1" customWidth="1"/>
    <col min="25" max="25" width="13.54296875" bestFit="1" customWidth="1"/>
    <col min="26" max="26" width="12.81640625" bestFit="1" customWidth="1"/>
    <col min="27" max="27" width="13.54296875" bestFit="1" customWidth="1"/>
    <col min="28" max="28" width="13.81640625" bestFit="1" customWidth="1"/>
    <col min="29" max="30" width="13.453125" bestFit="1" customWidth="1"/>
    <col min="31" max="31" width="14.1796875" bestFit="1" customWidth="1"/>
    <col min="32" max="32" width="13.1796875" bestFit="1" customWidth="1"/>
    <col min="33" max="33" width="13.54296875" bestFit="1" customWidth="1"/>
    <col min="34" max="35" width="13.1796875" bestFit="1" customWidth="1"/>
    <col min="36" max="36" width="13.54296875" bestFit="1" customWidth="1"/>
    <col min="37" max="38" width="12.81640625" bestFit="1" customWidth="1"/>
    <col min="39" max="39" width="13.54296875" bestFit="1" customWidth="1"/>
    <col min="40" max="40" width="13.453125" bestFit="1" customWidth="1"/>
    <col min="41" max="41" width="13.81640625" bestFit="1" customWidth="1"/>
    <col min="42" max="42" width="13.453125" bestFit="1" customWidth="1"/>
    <col min="43" max="43" width="14.1796875" bestFit="1" customWidth="1"/>
    <col min="44" max="45" width="13.1796875" bestFit="1" customWidth="1"/>
    <col min="46" max="46" width="13.54296875" bestFit="1" customWidth="1"/>
    <col min="47" max="47" width="13.1796875" bestFit="1" customWidth="1"/>
    <col min="48" max="48" width="12.81640625" bestFit="1" customWidth="1"/>
    <col min="49" max="49" width="13.54296875" bestFit="1" customWidth="1"/>
    <col min="50" max="50" width="12.81640625" bestFit="1" customWidth="1"/>
    <col min="51" max="51" width="13.54296875" bestFit="1" customWidth="1"/>
    <col min="52" max="52" width="13.453125" bestFit="1" customWidth="1"/>
    <col min="53" max="53" width="13.81640625" bestFit="1" customWidth="1"/>
    <col min="54" max="54" width="13.453125" bestFit="1" customWidth="1"/>
    <col min="55" max="55" width="14.1796875" bestFit="1" customWidth="1"/>
    <col min="56" max="57" width="13.1796875" bestFit="1" customWidth="1"/>
    <col min="58" max="58" width="13.54296875" bestFit="1" customWidth="1"/>
    <col min="59" max="59" width="13.1796875" bestFit="1" customWidth="1"/>
    <col min="60" max="60" width="12.81640625" bestFit="1" customWidth="1"/>
    <col min="61" max="61" width="13.54296875" bestFit="1" customWidth="1"/>
    <col min="62" max="62" width="12.81640625" bestFit="1" customWidth="1"/>
    <col min="63" max="63" width="13.54296875" bestFit="1" customWidth="1"/>
    <col min="64" max="65" width="13.453125" bestFit="1" customWidth="1"/>
    <col min="66" max="66" width="13.81640625" bestFit="1" customWidth="1"/>
    <col min="67" max="67" width="14.1796875" bestFit="1" customWidth="1"/>
    <col min="68" max="69" width="13.1796875" bestFit="1" customWidth="1"/>
    <col min="70" max="70" width="13.54296875" bestFit="1" customWidth="1"/>
    <col min="71" max="71" width="13.1796875" bestFit="1" customWidth="1"/>
    <col min="72" max="72" width="13.54296875" bestFit="1" customWidth="1"/>
    <col min="73" max="74" width="12.81640625" bestFit="1" customWidth="1"/>
    <col min="75" max="75" width="13.54296875" bestFit="1" customWidth="1"/>
    <col min="76" max="76" width="13.453125" bestFit="1" customWidth="1"/>
    <col min="77" max="77" width="13.81640625" bestFit="1" customWidth="1"/>
    <col min="78" max="78" width="13.453125" bestFit="1" customWidth="1"/>
    <col min="79" max="79" width="14.1796875" bestFit="1" customWidth="1"/>
    <col min="80" max="81" width="13.1796875" bestFit="1" customWidth="1"/>
    <col min="82" max="82" width="13.54296875" bestFit="1" customWidth="1"/>
    <col min="83" max="83" width="13.1796875" bestFit="1" customWidth="1"/>
    <col min="84" max="84" width="12.81640625" bestFit="1" customWidth="1"/>
    <col min="85" max="85" width="13.54296875" bestFit="1" customWidth="1"/>
    <col min="86" max="86" width="12.81640625" bestFit="1" customWidth="1"/>
  </cols>
  <sheetData>
    <row r="1" spans="1:5" s="1" customFormat="1" x14ac:dyDescent="0.35">
      <c r="A1" s="1" t="s">
        <v>0</v>
      </c>
      <c r="B1" t="s">
        <v>30</v>
      </c>
      <c r="C1" s="22"/>
      <c r="D1" s="22"/>
    </row>
    <row r="2" spans="1:5" s="1" customFormat="1" x14ac:dyDescent="0.35">
      <c r="A2" s="1" t="s">
        <v>2</v>
      </c>
      <c r="B2" s="1" t="s">
        <v>3</v>
      </c>
      <c r="C2" s="22"/>
      <c r="D2" s="22"/>
    </row>
    <row r="3" spans="1:5" s="1" customFormat="1" x14ac:dyDescent="0.35">
      <c r="A3" s="1" t="s">
        <v>4</v>
      </c>
      <c r="B3" s="1" t="s">
        <v>5</v>
      </c>
      <c r="C3" s="22"/>
      <c r="D3" s="22"/>
    </row>
    <row r="4" spans="1:5" s="1" customFormat="1" x14ac:dyDescent="0.35">
      <c r="A4" s="1" t="s">
        <v>6</v>
      </c>
      <c r="B4" s="1" t="s">
        <v>7</v>
      </c>
      <c r="C4" s="22"/>
      <c r="D4" s="22"/>
    </row>
    <row r="5" spans="1:5" s="1" customFormat="1" x14ac:dyDescent="0.35">
      <c r="A5" s="1" t="s">
        <v>8</v>
      </c>
      <c r="B5" s="1" t="s">
        <v>31</v>
      </c>
      <c r="C5" s="22"/>
      <c r="D5" s="22"/>
    </row>
    <row r="6" spans="1:5" s="1" customFormat="1" x14ac:dyDescent="0.35">
      <c r="A6" s="1" t="s">
        <v>10</v>
      </c>
      <c r="B6" s="24" t="s">
        <v>11</v>
      </c>
      <c r="C6" s="22"/>
      <c r="D6" s="22"/>
    </row>
    <row r="7" spans="1:5" s="1" customFormat="1" x14ac:dyDescent="0.35">
      <c r="C7" s="22"/>
      <c r="D7" s="22"/>
    </row>
    <row r="8" spans="1:5" s="1" customFormat="1" ht="29" x14ac:dyDescent="0.35">
      <c r="A8" s="41" t="s">
        <v>32</v>
      </c>
      <c r="B8" s="41" t="s">
        <v>33</v>
      </c>
      <c r="C8" s="41" t="s">
        <v>34</v>
      </c>
      <c r="D8" s="41" t="s">
        <v>35</v>
      </c>
      <c r="E8" s="41" t="s">
        <v>36</v>
      </c>
    </row>
    <row r="9" spans="1:5" s="1" customFormat="1" x14ac:dyDescent="0.35">
      <c r="A9" t="s">
        <v>37</v>
      </c>
      <c r="B9" t="s">
        <v>38</v>
      </c>
      <c r="C9">
        <v>1</v>
      </c>
      <c r="D9"/>
      <c r="E9"/>
    </row>
    <row r="10" spans="1:5" s="1" customFormat="1" x14ac:dyDescent="0.35">
      <c r="A10" t="s">
        <v>39</v>
      </c>
      <c r="B10" t="s">
        <v>38</v>
      </c>
      <c r="C10">
        <v>2</v>
      </c>
      <c r="D10"/>
      <c r="E10"/>
    </row>
    <row r="11" spans="1:5" s="1" customFormat="1" x14ac:dyDescent="0.35">
      <c r="A11" t="s">
        <v>40</v>
      </c>
      <c r="B11" t="s">
        <v>38</v>
      </c>
      <c r="C11">
        <v>3</v>
      </c>
      <c r="D11"/>
      <c r="E11"/>
    </row>
    <row r="12" spans="1:5" s="1" customFormat="1" x14ac:dyDescent="0.35">
      <c r="A12" t="s">
        <v>41</v>
      </c>
      <c r="B12" t="s">
        <v>38</v>
      </c>
      <c r="C12">
        <v>4</v>
      </c>
      <c r="D12"/>
      <c r="E12"/>
    </row>
    <row r="13" spans="1:5" s="1" customFormat="1" x14ac:dyDescent="0.35">
      <c r="A13" t="s">
        <v>42</v>
      </c>
      <c r="B13" t="s">
        <v>38</v>
      </c>
      <c r="C13">
        <v>5</v>
      </c>
      <c r="D13"/>
      <c r="E13"/>
    </row>
    <row r="14" spans="1:5" s="1" customFormat="1" x14ac:dyDescent="0.35">
      <c r="A14" t="s">
        <v>43</v>
      </c>
      <c r="B14" t="s">
        <v>38</v>
      </c>
      <c r="C14">
        <v>6</v>
      </c>
      <c r="D14"/>
      <c r="E14"/>
    </row>
    <row r="15" spans="1:5" s="1" customFormat="1" x14ac:dyDescent="0.35">
      <c r="A15" t="s">
        <v>44</v>
      </c>
      <c r="B15" t="s">
        <v>38</v>
      </c>
      <c r="C15">
        <v>7</v>
      </c>
      <c r="D15"/>
      <c r="E15"/>
    </row>
    <row r="16" spans="1:5" s="1" customFormat="1" x14ac:dyDescent="0.35">
      <c r="A16" t="s">
        <v>45</v>
      </c>
      <c r="B16" t="s">
        <v>38</v>
      </c>
      <c r="C16">
        <v>8</v>
      </c>
      <c r="D16"/>
      <c r="E16"/>
    </row>
    <row r="17" spans="1:5" s="1" customFormat="1" x14ac:dyDescent="0.35">
      <c r="A17" t="s">
        <v>46</v>
      </c>
      <c r="B17" t="s">
        <v>38</v>
      </c>
      <c r="C17">
        <v>9</v>
      </c>
      <c r="D17" s="45">
        <v>1</v>
      </c>
      <c r="E17" s="45">
        <v>1.6910459118965081E-4</v>
      </c>
    </row>
    <row r="18" spans="1:5" s="1" customFormat="1" x14ac:dyDescent="0.35">
      <c r="A18" t="s">
        <v>47</v>
      </c>
      <c r="B18" t="s">
        <v>38</v>
      </c>
      <c r="C18">
        <v>10</v>
      </c>
      <c r="D18" s="45">
        <v>1</v>
      </c>
      <c r="E18" s="45">
        <v>4.6590051914617645E-4</v>
      </c>
    </row>
    <row r="19" spans="1:5" s="1" customFormat="1" x14ac:dyDescent="0.35">
      <c r="A19" t="s">
        <v>48</v>
      </c>
      <c r="B19" t="s">
        <v>38</v>
      </c>
      <c r="C19">
        <v>11</v>
      </c>
      <c r="D19" s="45">
        <v>0.88888888888888884</v>
      </c>
      <c r="E19" s="45">
        <v>3.1351511404080327E-4</v>
      </c>
    </row>
    <row r="20" spans="1:5" s="1" customFormat="1" x14ac:dyDescent="0.35">
      <c r="A20" t="s">
        <v>49</v>
      </c>
      <c r="B20" t="s">
        <v>38</v>
      </c>
      <c r="C20">
        <v>12</v>
      </c>
      <c r="D20" s="45">
        <v>1</v>
      </c>
      <c r="E20" s="45">
        <v>2.9330769606804736E-4</v>
      </c>
    </row>
    <row r="21" spans="1:5" s="1" customFormat="1" x14ac:dyDescent="0.35">
      <c r="A21" t="s">
        <v>50</v>
      </c>
      <c r="B21" t="s">
        <v>38</v>
      </c>
      <c r="C21">
        <v>13</v>
      </c>
      <c r="D21" s="45">
        <v>1</v>
      </c>
      <c r="E21" s="45">
        <v>2.9353130389053077E-4</v>
      </c>
    </row>
    <row r="22" spans="1:5" s="1" customFormat="1" x14ac:dyDescent="0.35">
      <c r="A22" t="s">
        <v>51</v>
      </c>
      <c r="B22" t="s">
        <v>38</v>
      </c>
      <c r="C22">
        <v>14</v>
      </c>
      <c r="D22" s="45">
        <v>1</v>
      </c>
      <c r="E22" s="45">
        <v>7.4344023323588075E-4</v>
      </c>
    </row>
    <row r="23" spans="1:5" s="1" customFormat="1" x14ac:dyDescent="0.35">
      <c r="A23" t="s">
        <v>52</v>
      </c>
      <c r="B23" t="s">
        <v>38</v>
      </c>
      <c r="C23">
        <v>15</v>
      </c>
      <c r="D23" s="45">
        <v>0.81818181818181823</v>
      </c>
      <c r="E23" s="45">
        <v>2.5586849909864508E-3</v>
      </c>
    </row>
    <row r="24" spans="1:5" s="1" customFormat="1" x14ac:dyDescent="0.35">
      <c r="A24" t="s">
        <v>53</v>
      </c>
      <c r="B24" t="s">
        <v>38</v>
      </c>
      <c r="C24">
        <v>16</v>
      </c>
      <c r="D24" s="45">
        <v>1</v>
      </c>
      <c r="E24" s="45">
        <v>7.0346603578039962E-4</v>
      </c>
    </row>
    <row r="25" spans="1:5" s="1" customFormat="1" x14ac:dyDescent="0.35">
      <c r="A25" t="s">
        <v>54</v>
      </c>
      <c r="B25" t="s">
        <v>38</v>
      </c>
      <c r="C25">
        <v>17</v>
      </c>
      <c r="D25" s="45">
        <v>0.90322580645161288</v>
      </c>
      <c r="E25" s="45">
        <v>1.0965655684305573E-3</v>
      </c>
    </row>
    <row r="26" spans="1:5" s="1" customFormat="1" x14ac:dyDescent="0.35">
      <c r="A26" t="s">
        <v>55</v>
      </c>
      <c r="B26" t="s">
        <v>38</v>
      </c>
      <c r="C26">
        <v>18</v>
      </c>
      <c r="D26" s="45">
        <v>0.97619047619047616</v>
      </c>
      <c r="E26" s="45">
        <v>5.9291327466942732E-4</v>
      </c>
    </row>
    <row r="27" spans="1:5" s="1" customFormat="1" x14ac:dyDescent="0.35">
      <c r="A27" t="s">
        <v>56</v>
      </c>
      <c r="B27" t="s">
        <v>38</v>
      </c>
      <c r="C27">
        <v>19</v>
      </c>
      <c r="D27" s="45">
        <v>1</v>
      </c>
      <c r="E27" s="45">
        <v>2.7275901195777816E-4</v>
      </c>
    </row>
    <row r="28" spans="1:5" s="1" customFormat="1" x14ac:dyDescent="0.35">
      <c r="A28" t="s">
        <v>57</v>
      </c>
      <c r="B28" t="s">
        <v>38</v>
      </c>
      <c r="C28">
        <v>21</v>
      </c>
      <c r="D28" s="45">
        <v>1</v>
      </c>
      <c r="E28" s="45">
        <v>1.4133659047286687E-3</v>
      </c>
    </row>
    <row r="29" spans="1:5" s="1" customFormat="1" x14ac:dyDescent="0.35">
      <c r="A29" t="s">
        <v>58</v>
      </c>
      <c r="B29" t="s">
        <v>38</v>
      </c>
      <c r="C29">
        <v>23</v>
      </c>
      <c r="D29"/>
      <c r="E29"/>
    </row>
    <row r="30" spans="1:5" s="1" customFormat="1" x14ac:dyDescent="0.35">
      <c r="A30" t="s">
        <v>59</v>
      </c>
      <c r="B30" t="s">
        <v>38</v>
      </c>
      <c r="C30">
        <v>24</v>
      </c>
      <c r="D30" s="45">
        <v>0.90909090909090906</v>
      </c>
      <c r="E30" s="45">
        <v>2.3594413095963363E-3</v>
      </c>
    </row>
    <row r="31" spans="1:5" s="1" customFormat="1" x14ac:dyDescent="0.35">
      <c r="A31" t="s">
        <v>60</v>
      </c>
      <c r="B31" t="s">
        <v>38</v>
      </c>
      <c r="C31">
        <v>26</v>
      </c>
      <c r="D31" s="45">
        <v>0.9263157894736842</v>
      </c>
      <c r="E31" s="45">
        <v>8.5720086321630791E-4</v>
      </c>
    </row>
    <row r="32" spans="1:5" s="1" customFormat="1" x14ac:dyDescent="0.35">
      <c r="A32" t="s">
        <v>61</v>
      </c>
      <c r="B32" t="s">
        <v>38</v>
      </c>
      <c r="C32">
        <v>28</v>
      </c>
      <c r="D32" s="45">
        <v>0.96261682242990654</v>
      </c>
      <c r="E32" s="45">
        <v>2.0691955760468329E-3</v>
      </c>
    </row>
    <row r="33" spans="1:5" s="1" customFormat="1" x14ac:dyDescent="0.35">
      <c r="A33" t="s">
        <v>62</v>
      </c>
      <c r="B33" t="s">
        <v>38</v>
      </c>
      <c r="C33">
        <v>29</v>
      </c>
      <c r="D33" s="45">
        <v>0.83333333333333337</v>
      </c>
      <c r="E33" s="45">
        <v>1.8893174840588836E-3</v>
      </c>
    </row>
    <row r="34" spans="1:5" s="1" customFormat="1" x14ac:dyDescent="0.35">
      <c r="A34" t="s">
        <v>63</v>
      </c>
      <c r="B34" t="s">
        <v>38</v>
      </c>
      <c r="C34">
        <v>30</v>
      </c>
      <c r="D34" s="45">
        <v>0.98290598290598286</v>
      </c>
      <c r="E34" s="45">
        <v>1.1086045558598157E-3</v>
      </c>
    </row>
    <row r="35" spans="1:5" s="1" customFormat="1" x14ac:dyDescent="0.35">
      <c r="A35" t="s">
        <v>64</v>
      </c>
      <c r="B35" t="s">
        <v>38</v>
      </c>
      <c r="C35">
        <v>32</v>
      </c>
      <c r="D35" s="45">
        <v>0.9673202614379085</v>
      </c>
      <c r="E35" s="45">
        <v>5.7764549681917432E-3</v>
      </c>
    </row>
    <row r="36" spans="1:5" s="1" customFormat="1" x14ac:dyDescent="0.35">
      <c r="A36" t="s">
        <v>65</v>
      </c>
      <c r="B36" t="s">
        <v>38</v>
      </c>
      <c r="C36">
        <v>33</v>
      </c>
      <c r="D36" s="45">
        <v>0.98734177215189878</v>
      </c>
      <c r="E36" s="45">
        <v>1.8144790837263431E-3</v>
      </c>
    </row>
    <row r="37" spans="1:5" s="1" customFormat="1" x14ac:dyDescent="0.35">
      <c r="A37" t="s">
        <v>66</v>
      </c>
      <c r="B37" t="s">
        <v>38</v>
      </c>
      <c r="C37">
        <v>34</v>
      </c>
      <c r="D37" s="45">
        <v>0.98224852071005919</v>
      </c>
      <c r="E37" s="45">
        <v>3.4582014624026714E-3</v>
      </c>
    </row>
    <row r="38" spans="1:5" s="1" customFormat="1" x14ac:dyDescent="0.35">
      <c r="A38" t="s">
        <v>67</v>
      </c>
      <c r="B38" t="s">
        <v>38</v>
      </c>
      <c r="C38">
        <v>35</v>
      </c>
      <c r="D38" s="45">
        <v>0.98888888888888893</v>
      </c>
      <c r="E38" s="45">
        <v>4.4972454371697331E-3</v>
      </c>
    </row>
    <row r="39" spans="1:5" s="1" customFormat="1" x14ac:dyDescent="0.35">
      <c r="A39" t="s">
        <v>68</v>
      </c>
      <c r="B39" t="s">
        <v>38</v>
      </c>
      <c r="C39">
        <v>36</v>
      </c>
      <c r="D39" s="45">
        <v>1</v>
      </c>
      <c r="E39" s="45">
        <v>2.2210016000764215E-3</v>
      </c>
    </row>
    <row r="40" spans="1:5" s="1" customFormat="1" x14ac:dyDescent="0.35">
      <c r="A40" t="s">
        <v>69</v>
      </c>
      <c r="B40" t="s">
        <v>38</v>
      </c>
      <c r="C40">
        <v>37</v>
      </c>
      <c r="D40" s="45">
        <v>1</v>
      </c>
      <c r="E40" s="45">
        <v>4.5478276002088288E-3</v>
      </c>
    </row>
    <row r="41" spans="1:5" s="1" customFormat="1" x14ac:dyDescent="0.35">
      <c r="A41" t="s">
        <v>70</v>
      </c>
      <c r="B41" t="s">
        <v>38</v>
      </c>
      <c r="C41">
        <v>38</v>
      </c>
      <c r="D41" s="45">
        <v>0.98529411764705888</v>
      </c>
      <c r="E41" s="45">
        <v>1.1913278341484722E-2</v>
      </c>
    </row>
    <row r="42" spans="1:5" s="1" customFormat="1" x14ac:dyDescent="0.35">
      <c r="A42" t="s">
        <v>71</v>
      </c>
      <c r="B42" t="s">
        <v>38</v>
      </c>
      <c r="C42">
        <v>39</v>
      </c>
      <c r="D42"/>
      <c r="E42"/>
    </row>
    <row r="43" spans="1:5" s="1" customFormat="1" x14ac:dyDescent="0.35">
      <c r="A43" t="s">
        <v>72</v>
      </c>
      <c r="B43" t="s">
        <v>38</v>
      </c>
      <c r="C43">
        <v>41</v>
      </c>
      <c r="D43" s="45">
        <v>0.98712446351931327</v>
      </c>
      <c r="E43" s="45">
        <v>1.8243924401249087E-3</v>
      </c>
    </row>
    <row r="44" spans="1:5" s="1" customFormat="1" x14ac:dyDescent="0.35">
      <c r="A44" t="s">
        <v>73</v>
      </c>
      <c r="B44" t="s">
        <v>38</v>
      </c>
      <c r="C44">
        <v>42</v>
      </c>
      <c r="D44" s="45">
        <v>1</v>
      </c>
      <c r="E44" s="45">
        <v>5.6232119772227094E-3</v>
      </c>
    </row>
    <row r="45" spans="1:5" s="1" customFormat="1" x14ac:dyDescent="0.35">
      <c r="A45" t="s">
        <v>74</v>
      </c>
      <c r="B45" t="s">
        <v>38</v>
      </c>
      <c r="C45">
        <v>43</v>
      </c>
      <c r="D45" s="45">
        <v>0.94964028776978415</v>
      </c>
      <c r="E45" s="45">
        <v>1.8974166467597175E-3</v>
      </c>
    </row>
    <row r="46" spans="1:5" s="9" customFormat="1" x14ac:dyDescent="0.35">
      <c r="A46" t="s">
        <v>75</v>
      </c>
      <c r="B46" t="s">
        <v>38</v>
      </c>
      <c r="C46">
        <v>44</v>
      </c>
      <c r="D46" s="45">
        <v>1</v>
      </c>
      <c r="E46" s="45">
        <v>6.6478131174207067E-3</v>
      </c>
    </row>
    <row r="47" spans="1:5" s="9" customFormat="1" x14ac:dyDescent="0.35">
      <c r="A47" t="s">
        <v>76</v>
      </c>
      <c r="B47" t="s">
        <v>38</v>
      </c>
      <c r="C47">
        <v>45</v>
      </c>
      <c r="D47" s="45">
        <v>0.99707602339181289</v>
      </c>
      <c r="E47" s="45">
        <v>5.1417295706022185E-3</v>
      </c>
    </row>
    <row r="48" spans="1:5" s="9" customFormat="1" x14ac:dyDescent="0.35">
      <c r="A48" t="s">
        <v>77</v>
      </c>
      <c r="B48" t="s">
        <v>38</v>
      </c>
      <c r="C48">
        <v>47</v>
      </c>
      <c r="D48" s="45">
        <v>0.84</v>
      </c>
      <c r="E48" s="45">
        <v>8.2070361656727021E-3</v>
      </c>
    </row>
    <row r="49" spans="1:5" s="9" customFormat="1" x14ac:dyDescent="0.35">
      <c r="A49" t="s">
        <v>78</v>
      </c>
      <c r="B49" t="s">
        <v>38</v>
      </c>
      <c r="C49">
        <v>48</v>
      </c>
      <c r="D49" s="45">
        <v>0.97802197802197799</v>
      </c>
      <c r="E49" s="45">
        <v>4.5307537356935853E-3</v>
      </c>
    </row>
    <row r="50" spans="1:5" s="9" customFormat="1" x14ac:dyDescent="0.35">
      <c r="A50" t="s">
        <v>79</v>
      </c>
      <c r="B50" t="s">
        <v>38</v>
      </c>
      <c r="C50">
        <v>49</v>
      </c>
      <c r="D50" s="45">
        <v>0.90760869565217395</v>
      </c>
      <c r="E50" s="45">
        <v>2.9468427209435365E-3</v>
      </c>
    </row>
    <row r="51" spans="1:5" s="9" customFormat="1" x14ac:dyDescent="0.35">
      <c r="A51" t="s">
        <v>80</v>
      </c>
      <c r="B51" t="s">
        <v>38</v>
      </c>
      <c r="C51">
        <v>50</v>
      </c>
      <c r="D51" s="45">
        <v>0.95405405405405408</v>
      </c>
      <c r="E51" s="45">
        <v>8.8626380919813545E-4</v>
      </c>
    </row>
    <row r="52" spans="1:5" s="9" customFormat="1" x14ac:dyDescent="0.35">
      <c r="A52" t="s">
        <v>81</v>
      </c>
      <c r="B52" t="s">
        <v>38</v>
      </c>
      <c r="C52">
        <v>51</v>
      </c>
      <c r="D52" s="45">
        <v>0.93788819875776397</v>
      </c>
      <c r="E52" s="45">
        <v>4.8816601687368781E-3</v>
      </c>
    </row>
    <row r="53" spans="1:5" s="9" customFormat="1" x14ac:dyDescent="0.35">
      <c r="A53" t="s">
        <v>82</v>
      </c>
      <c r="B53" t="s">
        <v>38</v>
      </c>
      <c r="C53">
        <v>52</v>
      </c>
      <c r="D53" s="45">
        <v>1</v>
      </c>
      <c r="E53" s="45">
        <v>3.9289520783459195E-3</v>
      </c>
    </row>
    <row r="54" spans="1:5" s="9" customFormat="1" x14ac:dyDescent="0.35">
      <c r="A54" t="s">
        <v>83</v>
      </c>
      <c r="B54" t="s">
        <v>38</v>
      </c>
      <c r="C54">
        <v>53</v>
      </c>
      <c r="D54" s="45">
        <v>0.9371980676328503</v>
      </c>
      <c r="E54" s="45">
        <v>9.7850621545737485E-3</v>
      </c>
    </row>
    <row r="55" spans="1:5" s="9" customFormat="1" x14ac:dyDescent="0.35">
      <c r="A55" t="s">
        <v>84</v>
      </c>
      <c r="B55" t="s">
        <v>38</v>
      </c>
      <c r="C55">
        <v>54</v>
      </c>
      <c r="D55" s="45">
        <v>0.91653786707882534</v>
      </c>
      <c r="E55" s="45">
        <v>2.2224658550633217E-3</v>
      </c>
    </row>
    <row r="56" spans="1:5" s="9" customFormat="1" x14ac:dyDescent="0.35">
      <c r="A56" t="s">
        <v>85</v>
      </c>
      <c r="B56" t="s">
        <v>38</v>
      </c>
      <c r="C56">
        <v>55</v>
      </c>
      <c r="D56" s="45">
        <v>0.98697916666666663</v>
      </c>
      <c r="E56" s="45">
        <v>2.2005530990884038E-3</v>
      </c>
    </row>
    <row r="57" spans="1:5" s="9" customFormat="1" x14ac:dyDescent="0.35">
      <c r="A57" t="s">
        <v>86</v>
      </c>
      <c r="B57" t="s">
        <v>38</v>
      </c>
      <c r="C57">
        <v>56</v>
      </c>
      <c r="D57" s="45">
        <v>0.95118898623279102</v>
      </c>
      <c r="E57" s="45">
        <v>4.8823733997216626E-3</v>
      </c>
    </row>
    <row r="58" spans="1:5" s="9" customFormat="1" x14ac:dyDescent="0.35">
      <c r="A58" t="s">
        <v>87</v>
      </c>
      <c r="B58" t="s">
        <v>38</v>
      </c>
      <c r="C58">
        <v>57</v>
      </c>
      <c r="D58" s="45">
        <v>0.95216400911161736</v>
      </c>
      <c r="E58" s="45">
        <v>7.1764517568207288E-3</v>
      </c>
    </row>
    <row r="59" spans="1:5" s="9" customFormat="1" x14ac:dyDescent="0.35">
      <c r="A59" t="s">
        <v>88</v>
      </c>
      <c r="B59" t="s">
        <v>38</v>
      </c>
      <c r="C59">
        <v>58</v>
      </c>
      <c r="D59" s="45">
        <v>0.97131147540983609</v>
      </c>
      <c r="E59" s="45">
        <v>5.3428122023407645E-3</v>
      </c>
    </row>
    <row r="60" spans="1:5" s="9" customFormat="1" x14ac:dyDescent="0.35">
      <c r="A60" t="s">
        <v>89</v>
      </c>
      <c r="B60" t="s">
        <v>38</v>
      </c>
      <c r="C60">
        <v>59</v>
      </c>
      <c r="D60" s="45">
        <v>0.96837944664031617</v>
      </c>
      <c r="E60" s="45">
        <v>7.5418546851536506E-3</v>
      </c>
    </row>
    <row r="61" spans="1:5" s="9" customFormat="1" x14ac:dyDescent="0.35">
      <c r="A61" t="s">
        <v>90</v>
      </c>
      <c r="B61" t="s">
        <v>38</v>
      </c>
      <c r="C61">
        <v>60</v>
      </c>
      <c r="D61" s="45">
        <v>1</v>
      </c>
      <c r="E61" s="45">
        <v>1.6518245499110192E-2</v>
      </c>
    </row>
    <row r="62" spans="1:5" s="9" customFormat="1" x14ac:dyDescent="0.35">
      <c r="A62" t="s">
        <v>91</v>
      </c>
      <c r="B62" t="s">
        <v>38</v>
      </c>
      <c r="C62">
        <v>61</v>
      </c>
      <c r="D62" s="45">
        <v>1</v>
      </c>
      <c r="E62" s="45">
        <v>6.0942539007029443E-2</v>
      </c>
    </row>
    <row r="63" spans="1:5" s="9" customFormat="1" x14ac:dyDescent="0.35">
      <c r="A63" t="s">
        <v>92</v>
      </c>
      <c r="B63" t="s">
        <v>38</v>
      </c>
      <c r="C63">
        <v>62</v>
      </c>
      <c r="D63" s="45">
        <v>0.9845890410958904</v>
      </c>
      <c r="E63" s="45">
        <v>5.5370320623232801E-3</v>
      </c>
    </row>
    <row r="64" spans="1:5" s="9" customFormat="1" x14ac:dyDescent="0.35">
      <c r="A64" t="s">
        <v>93</v>
      </c>
      <c r="B64" t="s">
        <v>38</v>
      </c>
      <c r="C64">
        <v>63</v>
      </c>
      <c r="D64" s="45">
        <v>0.99859451862262827</v>
      </c>
      <c r="E64" s="45">
        <v>9.2259515275601844E-3</v>
      </c>
    </row>
    <row r="65" spans="1:5" s="9" customFormat="1" x14ac:dyDescent="0.35">
      <c r="A65" t="s">
        <v>94</v>
      </c>
      <c r="B65" t="s">
        <v>38</v>
      </c>
      <c r="C65">
        <v>64</v>
      </c>
      <c r="D65" s="45">
        <v>0.98060606060606059</v>
      </c>
      <c r="E65" s="45">
        <v>4.29768268081639E-3</v>
      </c>
    </row>
    <row r="66" spans="1:5" s="9" customFormat="1" x14ac:dyDescent="0.35">
      <c r="A66" t="s">
        <v>95</v>
      </c>
      <c r="B66" t="s">
        <v>38</v>
      </c>
      <c r="C66">
        <v>65</v>
      </c>
      <c r="D66" s="45">
        <v>0.93391304347826087</v>
      </c>
      <c r="E66" s="45">
        <v>6.460111619493808E-3</v>
      </c>
    </row>
    <row r="67" spans="1:5" s="9" customFormat="1" x14ac:dyDescent="0.35">
      <c r="A67" t="s">
        <v>96</v>
      </c>
      <c r="B67" t="s">
        <v>38</v>
      </c>
      <c r="C67">
        <v>67</v>
      </c>
      <c r="D67" s="45">
        <v>0.89687499999999998</v>
      </c>
      <c r="E67" s="45">
        <v>6.6789268263285958E-3</v>
      </c>
    </row>
    <row r="68" spans="1:5" s="9" customFormat="1" x14ac:dyDescent="0.35">
      <c r="A68" t="s">
        <v>97</v>
      </c>
      <c r="B68" t="s">
        <v>38</v>
      </c>
      <c r="C68">
        <v>68</v>
      </c>
      <c r="D68" s="45">
        <v>1</v>
      </c>
      <c r="E68" s="45">
        <v>1.7679758139794086E-2</v>
      </c>
    </row>
    <row r="69" spans="1:5" s="9" customFormat="1" x14ac:dyDescent="0.35">
      <c r="A69" t="s">
        <v>98</v>
      </c>
      <c r="B69" t="s">
        <v>38</v>
      </c>
      <c r="C69">
        <v>69</v>
      </c>
      <c r="D69" s="45">
        <v>0.99426048565121417</v>
      </c>
      <c r="E69" s="45">
        <v>9.8708043180247267E-3</v>
      </c>
    </row>
    <row r="70" spans="1:5" s="9" customFormat="1" x14ac:dyDescent="0.35">
      <c r="A70" t="s">
        <v>99</v>
      </c>
      <c r="B70" t="s">
        <v>38</v>
      </c>
      <c r="C70">
        <v>70</v>
      </c>
      <c r="D70" s="45">
        <v>0.89014883061658401</v>
      </c>
      <c r="E70" s="45">
        <v>2.2876351240892087E-2</v>
      </c>
    </row>
    <row r="71" spans="1:5" s="9" customFormat="1" x14ac:dyDescent="0.35">
      <c r="A71" t="s">
        <v>100</v>
      </c>
      <c r="B71" t="s">
        <v>38</v>
      </c>
      <c r="C71">
        <v>71</v>
      </c>
      <c r="D71" s="45">
        <v>0.96984047856430711</v>
      </c>
      <c r="E71" s="45">
        <v>6.9775460238547067E-3</v>
      </c>
    </row>
    <row r="72" spans="1:5" s="9" customFormat="1" x14ac:dyDescent="0.35">
      <c r="A72" t="s">
        <v>101</v>
      </c>
      <c r="B72" t="s">
        <v>38</v>
      </c>
      <c r="C72">
        <v>72</v>
      </c>
      <c r="D72" s="45">
        <v>0.95604137282557589</v>
      </c>
      <c r="E72" s="45">
        <v>3.7802611392656772E-3</v>
      </c>
    </row>
    <row r="73" spans="1:5" s="9" customFormat="1" x14ac:dyDescent="0.35">
      <c r="A73" t="s">
        <v>102</v>
      </c>
      <c r="B73" t="s">
        <v>38</v>
      </c>
      <c r="C73">
        <v>74</v>
      </c>
      <c r="D73" s="45">
        <v>0.91288639100762747</v>
      </c>
      <c r="E73" s="45">
        <v>7.3289953193470588E-3</v>
      </c>
    </row>
    <row r="74" spans="1:5" s="9" customFormat="1" x14ac:dyDescent="0.35">
      <c r="A74" t="s">
        <v>103</v>
      </c>
      <c r="B74" t="s">
        <v>38</v>
      </c>
      <c r="C74">
        <v>75</v>
      </c>
      <c r="D74" s="45">
        <v>0.87109032446653023</v>
      </c>
      <c r="E74" s="45">
        <v>8.9249395883934327E-3</v>
      </c>
    </row>
    <row r="75" spans="1:5" s="9" customFormat="1" x14ac:dyDescent="0.35">
      <c r="A75" t="s">
        <v>104</v>
      </c>
      <c r="B75" t="s">
        <v>38</v>
      </c>
      <c r="C75">
        <v>76</v>
      </c>
      <c r="D75" s="45">
        <v>0.97689589562381085</v>
      </c>
      <c r="E75" s="45">
        <v>8.6857466637541916E-2</v>
      </c>
    </row>
    <row r="76" spans="1:5" s="9" customFormat="1" x14ac:dyDescent="0.35">
      <c r="A76" t="s">
        <v>105</v>
      </c>
      <c r="B76" t="s">
        <v>38</v>
      </c>
      <c r="C76">
        <v>77</v>
      </c>
      <c r="D76" s="45">
        <v>0.78317152103559873</v>
      </c>
      <c r="E76" s="45">
        <v>8.4455502564027389E-3</v>
      </c>
    </row>
    <row r="77" spans="1:5" s="9" customFormat="1" x14ac:dyDescent="0.35">
      <c r="A77" t="s">
        <v>106</v>
      </c>
      <c r="B77" t="s">
        <v>38</v>
      </c>
      <c r="C77">
        <v>78</v>
      </c>
      <c r="D77" s="45">
        <v>0.91961074677385235</v>
      </c>
      <c r="E77" s="45">
        <v>9.2817994163285639E-3</v>
      </c>
    </row>
    <row r="78" spans="1:5" s="9" customFormat="1" x14ac:dyDescent="0.35">
      <c r="A78" t="s">
        <v>107</v>
      </c>
      <c r="B78" t="s">
        <v>38</v>
      </c>
      <c r="C78">
        <v>79</v>
      </c>
      <c r="D78" s="45">
        <v>0.94451675886755615</v>
      </c>
      <c r="E78" s="45">
        <v>2.0370914603023267E-2</v>
      </c>
    </row>
    <row r="79" spans="1:5" s="9" customFormat="1" x14ac:dyDescent="0.35">
      <c r="A79" t="s">
        <v>108</v>
      </c>
      <c r="B79" t="s">
        <v>38</v>
      </c>
      <c r="C79">
        <v>82</v>
      </c>
      <c r="D79" s="45">
        <v>0.89984222520890556</v>
      </c>
      <c r="E79" s="45">
        <v>1.8597887917649179E-2</v>
      </c>
    </row>
    <row r="80" spans="1:5" s="9" customFormat="1" x14ac:dyDescent="0.35">
      <c r="A80" t="s">
        <v>109</v>
      </c>
      <c r="B80" t="s">
        <v>38</v>
      </c>
      <c r="C80">
        <v>83</v>
      </c>
      <c r="D80" s="45">
        <v>0.96615551425030977</v>
      </c>
      <c r="E80" s="45">
        <v>1.0729918227168327E-2</v>
      </c>
    </row>
    <row r="81" spans="1:5" s="9" customFormat="1" x14ac:dyDescent="0.35">
      <c r="A81" t="s">
        <v>110</v>
      </c>
      <c r="B81" t="s">
        <v>38</v>
      </c>
      <c r="C81">
        <v>85</v>
      </c>
      <c r="D81" s="45">
        <v>0.94243399186364962</v>
      </c>
      <c r="E81" s="45">
        <v>9.5668678930785744E-3</v>
      </c>
    </row>
    <row r="82" spans="1:5" s="9" customFormat="1" x14ac:dyDescent="0.35">
      <c r="A82" t="s">
        <v>111</v>
      </c>
      <c r="B82" t="s">
        <v>38</v>
      </c>
      <c r="C82">
        <v>86</v>
      </c>
      <c r="D82" s="45">
        <v>0.86652602974828374</v>
      </c>
      <c r="E82" s="45">
        <v>5.7782103538803285E-3</v>
      </c>
    </row>
    <row r="83" spans="1:5" s="9" customFormat="1" x14ac:dyDescent="0.35">
      <c r="A83" s="41" t="s">
        <v>112</v>
      </c>
      <c r="B83" s="41">
        <v>2024</v>
      </c>
      <c r="C83" s="41">
        <v>1</v>
      </c>
      <c r="D83" s="42"/>
      <c r="E83" s="42"/>
    </row>
    <row r="84" spans="1:5" s="9" customFormat="1" x14ac:dyDescent="0.35">
      <c r="A84" s="41" t="s">
        <v>78</v>
      </c>
      <c r="B84" s="41">
        <v>2024</v>
      </c>
      <c r="C84" s="41">
        <v>2</v>
      </c>
      <c r="D84" s="42"/>
      <c r="E84" s="42"/>
    </row>
    <row r="85" spans="1:5" s="9" customFormat="1" x14ac:dyDescent="0.35">
      <c r="A85" s="41" t="s">
        <v>59</v>
      </c>
      <c r="B85" s="41">
        <v>2024</v>
      </c>
      <c r="C85" s="41">
        <v>3</v>
      </c>
      <c r="D85" s="42"/>
      <c r="E85" s="42"/>
    </row>
    <row r="86" spans="1:5" s="9" customFormat="1" x14ac:dyDescent="0.35">
      <c r="A86" s="41" t="s">
        <v>77</v>
      </c>
      <c r="B86" s="41">
        <v>2024</v>
      </c>
      <c r="C86" s="41">
        <v>4</v>
      </c>
      <c r="D86" s="42"/>
      <c r="E86" s="42"/>
    </row>
    <row r="87" spans="1:5" s="9" customFormat="1" x14ac:dyDescent="0.35">
      <c r="A87" s="41" t="s">
        <v>113</v>
      </c>
      <c r="B87" s="41">
        <v>2024</v>
      </c>
      <c r="C87" s="41">
        <v>5</v>
      </c>
      <c r="D87" s="42"/>
      <c r="E87" s="42"/>
    </row>
    <row r="88" spans="1:5" s="9" customFormat="1" x14ac:dyDescent="0.35">
      <c r="A88" s="41" t="s">
        <v>64</v>
      </c>
      <c r="B88" s="41">
        <v>2024</v>
      </c>
      <c r="C88" s="41">
        <v>6</v>
      </c>
      <c r="D88" s="42"/>
      <c r="E88" s="42"/>
    </row>
    <row r="89" spans="1:5" s="9" customFormat="1" x14ac:dyDescent="0.35">
      <c r="A89" s="41" t="s">
        <v>114</v>
      </c>
      <c r="B89" s="41">
        <v>2024</v>
      </c>
      <c r="C89" s="41">
        <v>7</v>
      </c>
      <c r="D89" s="42">
        <v>0.875</v>
      </c>
      <c r="E89" s="42"/>
    </row>
    <row r="90" spans="1:5" s="9" customFormat="1" x14ac:dyDescent="0.35">
      <c r="A90" s="41" t="s">
        <v>115</v>
      </c>
      <c r="B90" s="41">
        <v>2024</v>
      </c>
      <c r="C90" s="41">
        <v>8</v>
      </c>
      <c r="D90" s="42"/>
      <c r="E90" s="42"/>
    </row>
    <row r="91" spans="1:5" s="9" customFormat="1" x14ac:dyDescent="0.35">
      <c r="A91" s="41" t="s">
        <v>116</v>
      </c>
      <c r="B91" s="41">
        <v>2024</v>
      </c>
      <c r="C91" s="41">
        <v>9</v>
      </c>
      <c r="D91" s="42"/>
      <c r="E91" s="42"/>
    </row>
    <row r="92" spans="1:5" s="9" customFormat="1" x14ac:dyDescent="0.35">
      <c r="A92" s="41" t="s">
        <v>117</v>
      </c>
      <c r="B92" s="41">
        <v>2024</v>
      </c>
      <c r="C92" s="41">
        <v>10</v>
      </c>
      <c r="D92" s="42">
        <v>0.9247787610619469</v>
      </c>
      <c r="E92" s="42"/>
    </row>
    <row r="93" spans="1:5" s="9" customFormat="1" x14ac:dyDescent="0.35">
      <c r="A93" s="41" t="s">
        <v>118</v>
      </c>
      <c r="B93" s="41">
        <v>2024</v>
      </c>
      <c r="C93" s="41">
        <v>11</v>
      </c>
      <c r="D93" s="42"/>
      <c r="E93" s="42"/>
    </row>
    <row r="94" spans="1:5" s="9" customFormat="1" x14ac:dyDescent="0.35">
      <c r="A94" s="41" t="s">
        <v>69</v>
      </c>
      <c r="B94" s="41">
        <v>2024</v>
      </c>
      <c r="C94" s="41">
        <v>12</v>
      </c>
      <c r="D94" s="42">
        <v>1</v>
      </c>
      <c r="E94" s="42">
        <v>0.30913418625409106</v>
      </c>
    </row>
    <row r="95" spans="1:5" s="9" customFormat="1" x14ac:dyDescent="0.35">
      <c r="A95" s="41" t="s">
        <v>62</v>
      </c>
      <c r="B95" s="41">
        <v>2024</v>
      </c>
      <c r="C95" s="41">
        <v>13</v>
      </c>
      <c r="D95" s="42">
        <v>0.9042553191489362</v>
      </c>
      <c r="E95" s="42">
        <v>7.2887050917549753E-2</v>
      </c>
    </row>
    <row r="96" spans="1:5" s="9" customFormat="1" x14ac:dyDescent="0.35">
      <c r="A96" s="41" t="s">
        <v>67</v>
      </c>
      <c r="B96" s="41">
        <v>2024</v>
      </c>
      <c r="C96" s="41">
        <v>14</v>
      </c>
      <c r="D96" s="42">
        <v>0.98750000000000004</v>
      </c>
      <c r="E96" s="42">
        <v>5.7975215595332998E-3</v>
      </c>
    </row>
    <row r="97" spans="1:5" s="9" customFormat="1" x14ac:dyDescent="0.35">
      <c r="A97" s="41" t="s">
        <v>65</v>
      </c>
      <c r="B97" s="41">
        <v>2024</v>
      </c>
      <c r="C97" s="41">
        <v>15</v>
      </c>
      <c r="D97" s="42">
        <v>0.9779411764705882</v>
      </c>
      <c r="E97" s="42">
        <v>9.1158924860915615E-3</v>
      </c>
    </row>
    <row r="98" spans="1:5" s="9" customFormat="1" x14ac:dyDescent="0.35">
      <c r="A98" s="41" t="s">
        <v>70</v>
      </c>
      <c r="B98" s="41">
        <v>2024</v>
      </c>
      <c r="C98" s="41">
        <v>16</v>
      </c>
      <c r="D98" s="42">
        <v>0.9941860465116279</v>
      </c>
      <c r="E98" s="42">
        <v>1.1249918241873243E-2</v>
      </c>
    </row>
    <row r="99" spans="1:5" s="9" customFormat="1" x14ac:dyDescent="0.35">
      <c r="A99" s="41" t="s">
        <v>71</v>
      </c>
      <c r="B99" s="41">
        <v>2024</v>
      </c>
      <c r="C99" s="41">
        <v>17</v>
      </c>
      <c r="D99" s="42">
        <v>0.5914786967418546</v>
      </c>
      <c r="E99" s="42">
        <v>2.3405877867073384E-2</v>
      </c>
    </row>
    <row r="100" spans="1:5" s="9" customFormat="1" x14ac:dyDescent="0.35">
      <c r="A100" s="41" t="s">
        <v>88</v>
      </c>
      <c r="B100" s="41">
        <v>2024</v>
      </c>
      <c r="C100" s="41">
        <v>18</v>
      </c>
      <c r="D100" s="42">
        <v>0.9622980251346499</v>
      </c>
      <c r="E100" s="42">
        <v>2.9975244860617801E-2</v>
      </c>
    </row>
    <row r="101" spans="1:5" s="9" customFormat="1" x14ac:dyDescent="0.35">
      <c r="A101" s="41" t="s">
        <v>49</v>
      </c>
      <c r="B101" s="41">
        <v>2024</v>
      </c>
      <c r="C101" s="41">
        <v>19</v>
      </c>
      <c r="D101" s="42">
        <v>1</v>
      </c>
      <c r="E101" s="42">
        <v>4.3023089057794351E-4</v>
      </c>
    </row>
    <row r="102" spans="1:5" s="9" customFormat="1" x14ac:dyDescent="0.35">
      <c r="A102" s="41" t="s">
        <v>51</v>
      </c>
      <c r="B102" s="41">
        <v>2024</v>
      </c>
      <c r="C102" s="41">
        <v>20</v>
      </c>
      <c r="D102" s="42">
        <v>1</v>
      </c>
      <c r="E102" s="42">
        <v>1.4384726036354126E-3</v>
      </c>
    </row>
    <row r="103" spans="1:5" s="9" customFormat="1" x14ac:dyDescent="0.35">
      <c r="A103" s="41" t="s">
        <v>90</v>
      </c>
      <c r="B103" s="41">
        <v>2024</v>
      </c>
      <c r="C103" s="41">
        <v>21</v>
      </c>
      <c r="D103" s="42">
        <v>1</v>
      </c>
      <c r="E103" s="42">
        <v>7.6404806556921577E-4</v>
      </c>
    </row>
    <row r="104" spans="1:5" s="9" customFormat="1" x14ac:dyDescent="0.35">
      <c r="A104" s="41" t="s">
        <v>46</v>
      </c>
      <c r="B104" s="41">
        <v>2024</v>
      </c>
      <c r="C104" s="41">
        <v>22</v>
      </c>
      <c r="D104" s="42">
        <v>1</v>
      </c>
      <c r="E104" s="42">
        <v>1.6717935000668717E-4</v>
      </c>
    </row>
    <row r="105" spans="1:5" s="9" customFormat="1" x14ac:dyDescent="0.35">
      <c r="A105" s="41" t="s">
        <v>48</v>
      </c>
      <c r="B105" s="41">
        <v>2024</v>
      </c>
      <c r="C105" s="41">
        <v>23</v>
      </c>
      <c r="D105" s="42">
        <v>1</v>
      </c>
      <c r="E105" s="42">
        <v>2.9632556301856976E-4</v>
      </c>
    </row>
    <row r="106" spans="1:5" s="9" customFormat="1" x14ac:dyDescent="0.35">
      <c r="A106" s="41" t="s">
        <v>99</v>
      </c>
      <c r="B106" s="41">
        <v>2024</v>
      </c>
      <c r="C106" s="41">
        <v>24</v>
      </c>
      <c r="D106" s="42">
        <v>0.82190476190476192</v>
      </c>
      <c r="E106" s="42">
        <v>3.224716685605479E-2</v>
      </c>
    </row>
    <row r="107" spans="1:5" s="9" customFormat="1" x14ac:dyDescent="0.35">
      <c r="A107" s="41" t="s">
        <v>50</v>
      </c>
      <c r="B107" s="41">
        <v>2024</v>
      </c>
      <c r="C107" s="41">
        <v>25</v>
      </c>
      <c r="D107" s="42">
        <v>1</v>
      </c>
      <c r="E107" s="42">
        <v>1.1772669747181917E-4</v>
      </c>
    </row>
    <row r="108" spans="1:5" s="9" customFormat="1" x14ac:dyDescent="0.35">
      <c r="A108" s="41" t="s">
        <v>53</v>
      </c>
      <c r="B108" s="41">
        <v>2024</v>
      </c>
      <c r="C108" s="41">
        <v>26</v>
      </c>
      <c r="D108" s="42">
        <v>1</v>
      </c>
      <c r="E108" s="42">
        <v>6.1640189403491081E-4</v>
      </c>
    </row>
    <row r="109" spans="1:5" s="9" customFormat="1" x14ac:dyDescent="0.35">
      <c r="A109" s="41" t="s">
        <v>57</v>
      </c>
      <c r="B109" s="41">
        <v>2024</v>
      </c>
      <c r="C109" s="41">
        <v>27</v>
      </c>
      <c r="D109" s="42">
        <v>1</v>
      </c>
      <c r="E109" s="42">
        <v>1.0289210233592882E-3</v>
      </c>
    </row>
    <row r="110" spans="1:5" s="9" customFormat="1" x14ac:dyDescent="0.35">
      <c r="A110" s="41" t="s">
        <v>104</v>
      </c>
      <c r="B110" s="41">
        <v>2024</v>
      </c>
      <c r="C110" s="41">
        <v>28</v>
      </c>
      <c r="D110" s="42">
        <v>0.91876138433515486</v>
      </c>
      <c r="E110" s="42">
        <v>6.4913566817225155E-2</v>
      </c>
    </row>
    <row r="111" spans="1:5" s="9" customFormat="1" x14ac:dyDescent="0.35">
      <c r="A111" s="41" t="s">
        <v>75</v>
      </c>
      <c r="B111" s="41">
        <v>2024</v>
      </c>
      <c r="C111" s="41">
        <v>29</v>
      </c>
      <c r="D111" s="42">
        <v>1</v>
      </c>
      <c r="E111" s="42">
        <v>8.0415716334736303E-3</v>
      </c>
    </row>
    <row r="112" spans="1:5" s="9" customFormat="1" x14ac:dyDescent="0.35">
      <c r="A112" s="41" t="s">
        <v>73</v>
      </c>
      <c r="B112" s="41">
        <v>2024</v>
      </c>
      <c r="C112" s="41">
        <v>30</v>
      </c>
      <c r="D112" s="42">
        <v>1</v>
      </c>
      <c r="E112" s="42">
        <v>7.60581285754992E-3</v>
      </c>
    </row>
    <row r="113" spans="1:5" s="9" customFormat="1" x14ac:dyDescent="0.35">
      <c r="A113" s="41" t="s">
        <v>58</v>
      </c>
      <c r="B113" s="41">
        <v>2024</v>
      </c>
      <c r="C113" s="41">
        <v>31</v>
      </c>
      <c r="D113" s="42">
        <v>0.8571428571428571</v>
      </c>
      <c r="E113" s="42">
        <v>8.8823094004441151E-4</v>
      </c>
    </row>
    <row r="114" spans="1:5" s="9" customFormat="1" x14ac:dyDescent="0.35">
      <c r="A114" s="41" t="s">
        <v>66</v>
      </c>
      <c r="B114" s="41">
        <v>2024</v>
      </c>
      <c r="C114" s="41">
        <v>32</v>
      </c>
      <c r="D114" s="42">
        <v>0.9880239520958084</v>
      </c>
      <c r="E114" s="42">
        <v>3.4645865316791833E-3</v>
      </c>
    </row>
    <row r="115" spans="1:5" s="9" customFormat="1" x14ac:dyDescent="0.35">
      <c r="A115" s="41" t="s">
        <v>86</v>
      </c>
      <c r="B115" s="41">
        <v>2024</v>
      </c>
      <c r="C115" s="41">
        <v>33</v>
      </c>
      <c r="D115" s="42">
        <v>0.96483516483516485</v>
      </c>
      <c r="E115" s="42">
        <v>9.151431042458618E-3</v>
      </c>
    </row>
    <row r="116" spans="1:5" s="9" customFormat="1" x14ac:dyDescent="0.35">
      <c r="A116" s="41" t="s">
        <v>61</v>
      </c>
      <c r="B116" s="41">
        <v>2024</v>
      </c>
      <c r="C116" s="41">
        <v>34</v>
      </c>
      <c r="D116" s="42">
        <v>0.75342465753424659</v>
      </c>
      <c r="E116" s="42">
        <v>1.4146464352847703E-3</v>
      </c>
    </row>
    <row r="117" spans="1:5" s="9" customFormat="1" x14ac:dyDescent="0.35">
      <c r="A117" s="41" t="s">
        <v>96</v>
      </c>
      <c r="B117" s="41">
        <v>2024</v>
      </c>
      <c r="C117" s="41">
        <v>35</v>
      </c>
      <c r="D117" s="42">
        <v>0.92754716981132079</v>
      </c>
      <c r="E117" s="42">
        <v>2.3105360443622922E-2</v>
      </c>
    </row>
    <row r="118" spans="1:5" s="9" customFormat="1" x14ac:dyDescent="0.35">
      <c r="A118" s="41" t="s">
        <v>83</v>
      </c>
      <c r="B118" s="41">
        <v>2024</v>
      </c>
      <c r="C118" s="41">
        <v>36</v>
      </c>
      <c r="D118" s="42">
        <v>0.94653179190751446</v>
      </c>
      <c r="E118" s="42">
        <v>1.1629861181136769E-2</v>
      </c>
    </row>
    <row r="119" spans="1:5" s="9" customFormat="1" x14ac:dyDescent="0.35">
      <c r="A119" s="41" t="s">
        <v>89</v>
      </c>
      <c r="B119" s="41">
        <v>2024</v>
      </c>
      <c r="C119" s="41">
        <v>37</v>
      </c>
      <c r="D119" s="42">
        <v>0.97979797979797978</v>
      </c>
      <c r="E119" s="42">
        <v>4.6626999701712794E-3</v>
      </c>
    </row>
    <row r="120" spans="1:5" s="9" customFormat="1" x14ac:dyDescent="0.35">
      <c r="A120" s="41" t="s">
        <v>82</v>
      </c>
      <c r="B120" s="41">
        <v>2024</v>
      </c>
      <c r="C120" s="41">
        <v>38</v>
      </c>
      <c r="D120" s="42">
        <v>1</v>
      </c>
      <c r="E120" s="42">
        <v>6.6906078171333205E-3</v>
      </c>
    </row>
    <row r="121" spans="1:5" s="9" customFormat="1" x14ac:dyDescent="0.35">
      <c r="A121" s="41" t="s">
        <v>76</v>
      </c>
      <c r="B121" s="41">
        <v>2024</v>
      </c>
      <c r="C121" s="41">
        <v>39</v>
      </c>
      <c r="D121" s="42">
        <v>0.99113082039911304</v>
      </c>
      <c r="E121" s="42">
        <v>6.5332019932784792E-3</v>
      </c>
    </row>
    <row r="122" spans="1:5" s="9" customFormat="1" x14ac:dyDescent="0.35">
      <c r="A122" s="41" t="s">
        <v>55</v>
      </c>
      <c r="B122" s="41">
        <v>2024</v>
      </c>
      <c r="C122" s="41">
        <v>40</v>
      </c>
      <c r="D122" s="42">
        <v>0.91111111111111109</v>
      </c>
      <c r="E122" s="42">
        <v>6.5108876510164217E-4</v>
      </c>
    </row>
    <row r="123" spans="1:5" s="9" customFormat="1" x14ac:dyDescent="0.35">
      <c r="A123" s="41" t="s">
        <v>85</v>
      </c>
      <c r="B123" s="41">
        <v>2024</v>
      </c>
      <c r="C123" s="41">
        <v>41</v>
      </c>
      <c r="D123" s="42">
        <v>0.9580152671755725</v>
      </c>
      <c r="E123" s="42">
        <v>3.6869212800090061E-3</v>
      </c>
    </row>
    <row r="124" spans="1:5" s="9" customFormat="1" x14ac:dyDescent="0.35">
      <c r="A124" s="41" t="s">
        <v>74</v>
      </c>
      <c r="B124" s="41">
        <v>2024</v>
      </c>
      <c r="C124" s="41">
        <v>42</v>
      </c>
      <c r="D124" s="42">
        <v>0.96124031007751942</v>
      </c>
      <c r="E124" s="42">
        <v>1.7119878966437075E-3</v>
      </c>
    </row>
    <row r="125" spans="1:5" s="9" customFormat="1" x14ac:dyDescent="0.35">
      <c r="A125" s="41" t="s">
        <v>119</v>
      </c>
      <c r="B125" s="41">
        <v>2024</v>
      </c>
      <c r="C125" s="41">
        <v>43</v>
      </c>
      <c r="D125" s="42">
        <v>0.6</v>
      </c>
      <c r="E125" s="42">
        <v>6.4471207158882848E-5</v>
      </c>
    </row>
    <row r="126" spans="1:5" s="9" customFormat="1" x14ac:dyDescent="0.35">
      <c r="A126" s="41" t="s">
        <v>56</v>
      </c>
      <c r="B126" s="41">
        <v>2024</v>
      </c>
      <c r="C126" s="41">
        <v>44</v>
      </c>
      <c r="D126" s="42">
        <v>0.87096774193548387</v>
      </c>
      <c r="E126" s="42">
        <v>3.4349411073806912E-4</v>
      </c>
    </row>
    <row r="127" spans="1:5" s="9" customFormat="1" x14ac:dyDescent="0.35">
      <c r="A127" s="41" t="s">
        <v>81</v>
      </c>
      <c r="B127" s="41">
        <v>2024</v>
      </c>
      <c r="C127" s="41">
        <v>45</v>
      </c>
      <c r="D127" s="42">
        <v>0.95207667731629397</v>
      </c>
      <c r="E127" s="42">
        <v>3.1999836422561419E-3</v>
      </c>
    </row>
    <row r="128" spans="1:5" s="9" customFormat="1" x14ac:dyDescent="0.35">
      <c r="A128" s="41" t="s">
        <v>63</v>
      </c>
      <c r="B128" s="41">
        <v>2024</v>
      </c>
      <c r="C128" s="41">
        <v>46</v>
      </c>
      <c r="D128" s="42">
        <v>0.97590361445783136</v>
      </c>
      <c r="E128" s="42">
        <v>1.6091820314469067E-3</v>
      </c>
    </row>
    <row r="129" spans="1:5" s="9" customFormat="1" x14ac:dyDescent="0.35">
      <c r="A129" s="41" t="s">
        <v>60</v>
      </c>
      <c r="B129" s="41">
        <v>2024</v>
      </c>
      <c r="C129" s="41">
        <v>47</v>
      </c>
      <c r="D129" s="42">
        <v>0.97841726618705038</v>
      </c>
      <c r="E129" s="42">
        <v>1.2076035585209897E-3</v>
      </c>
    </row>
    <row r="130" spans="1:5" s="9" customFormat="1" x14ac:dyDescent="0.35">
      <c r="A130" s="41" t="s">
        <v>97</v>
      </c>
      <c r="B130" s="41">
        <v>2024</v>
      </c>
      <c r="C130" s="41">
        <v>48</v>
      </c>
      <c r="D130" s="42">
        <v>0.99687377881985151</v>
      </c>
      <c r="E130" s="42">
        <v>2.1040255212786949E-2</v>
      </c>
    </row>
    <row r="131" spans="1:5" s="9" customFormat="1" x14ac:dyDescent="0.35">
      <c r="A131" s="41" t="s">
        <v>87</v>
      </c>
      <c r="B131" s="41">
        <v>2024</v>
      </c>
      <c r="C131" s="41">
        <v>49</v>
      </c>
      <c r="D131" s="42">
        <v>0.95060373216245886</v>
      </c>
      <c r="E131" s="42">
        <v>7.3597725014339843E-3</v>
      </c>
    </row>
    <row r="132" spans="1:5" s="9" customFormat="1" x14ac:dyDescent="0.35">
      <c r="A132" s="41" t="s">
        <v>98</v>
      </c>
      <c r="B132" s="41">
        <v>2024</v>
      </c>
      <c r="C132" s="41">
        <v>50</v>
      </c>
      <c r="D132" s="42">
        <v>0.95768374164810688</v>
      </c>
      <c r="E132" s="42">
        <v>1.7818450231362061E-2</v>
      </c>
    </row>
    <row r="133" spans="1:5" s="9" customFormat="1" x14ac:dyDescent="0.35">
      <c r="A133" s="41" t="s">
        <v>79</v>
      </c>
      <c r="B133" s="41">
        <v>2024</v>
      </c>
      <c r="C133" s="41">
        <v>51</v>
      </c>
      <c r="D133" s="42">
        <v>0.92938496583143504</v>
      </c>
      <c r="E133" s="42">
        <v>3.4486009206743233E-3</v>
      </c>
    </row>
    <row r="134" spans="1:5" s="9" customFormat="1" x14ac:dyDescent="0.35">
      <c r="A134" s="41" t="s">
        <v>72</v>
      </c>
      <c r="B134" s="41">
        <v>2024</v>
      </c>
      <c r="C134" s="41">
        <v>52</v>
      </c>
      <c r="D134" s="42">
        <v>0.9955357142857143</v>
      </c>
      <c r="E134" s="42">
        <v>1.7163435752049652E-3</v>
      </c>
    </row>
    <row r="135" spans="1:5" s="9" customFormat="1" x14ac:dyDescent="0.35">
      <c r="A135" s="41" t="s">
        <v>93</v>
      </c>
      <c r="B135" s="41">
        <v>2024</v>
      </c>
      <c r="C135" s="41">
        <v>53</v>
      </c>
      <c r="D135" s="42">
        <v>0.99556541019955658</v>
      </c>
      <c r="E135" s="42">
        <v>8.5671951775492632E-3</v>
      </c>
    </row>
    <row r="136" spans="1:5" s="9" customFormat="1" x14ac:dyDescent="0.35">
      <c r="A136" s="41" t="s">
        <v>94</v>
      </c>
      <c r="B136" s="41">
        <v>2024</v>
      </c>
      <c r="C136" s="41">
        <v>54</v>
      </c>
      <c r="D136" s="42">
        <v>0.93124246079613993</v>
      </c>
      <c r="E136" s="42">
        <v>4.4156342214315388E-3</v>
      </c>
    </row>
    <row r="137" spans="1:5" s="9" customFormat="1" x14ac:dyDescent="0.35">
      <c r="A137" s="41" t="s">
        <v>92</v>
      </c>
      <c r="B137" s="41">
        <v>2024</v>
      </c>
      <c r="C137" s="41">
        <v>55</v>
      </c>
      <c r="D137" s="42">
        <v>0.95922746781115875</v>
      </c>
      <c r="E137" s="42">
        <v>2.1775802690666779E-3</v>
      </c>
    </row>
    <row r="138" spans="1:5" s="9" customFormat="1" x14ac:dyDescent="0.35">
      <c r="A138" s="41" t="s">
        <v>103</v>
      </c>
      <c r="B138" s="41">
        <v>2024</v>
      </c>
      <c r="C138" s="41">
        <v>56</v>
      </c>
      <c r="D138" s="42">
        <v>0.73451086956521738</v>
      </c>
      <c r="E138" s="42">
        <v>1.6574635403060901E-2</v>
      </c>
    </row>
    <row r="139" spans="1:5" s="9" customFormat="1" x14ac:dyDescent="0.35">
      <c r="A139" s="41" t="s">
        <v>95</v>
      </c>
      <c r="B139" s="41">
        <v>2024</v>
      </c>
      <c r="C139" s="41">
        <v>57</v>
      </c>
      <c r="D139" s="42">
        <v>0.81843575418994419</v>
      </c>
      <c r="E139" s="42">
        <v>4.785136670453786E-3</v>
      </c>
    </row>
    <row r="140" spans="1:5" s="9" customFormat="1" x14ac:dyDescent="0.35">
      <c r="A140" s="41" t="s">
        <v>120</v>
      </c>
      <c r="B140" s="41">
        <v>2024</v>
      </c>
      <c r="C140" s="41">
        <v>58</v>
      </c>
      <c r="D140" s="42">
        <v>0.93742621015348293</v>
      </c>
      <c r="E140" s="42">
        <v>3.723551573607185E-3</v>
      </c>
    </row>
    <row r="141" spans="1:5" s="9" customFormat="1" x14ac:dyDescent="0.35">
      <c r="A141" s="41" t="s">
        <v>107</v>
      </c>
      <c r="B141" s="41">
        <v>2024</v>
      </c>
      <c r="C141" s="41">
        <v>59</v>
      </c>
      <c r="D141" s="42">
        <v>0.90454266421117246</v>
      </c>
      <c r="E141" s="42">
        <v>1.366049191188186E-2</v>
      </c>
    </row>
    <row r="142" spans="1:5" s="9" customFormat="1" x14ac:dyDescent="0.35">
      <c r="A142" s="41" t="s">
        <v>80</v>
      </c>
      <c r="B142" s="41">
        <v>2024</v>
      </c>
      <c r="C142" s="41">
        <v>60</v>
      </c>
      <c r="D142" s="42">
        <v>0.97491638795986624</v>
      </c>
      <c r="E142" s="42">
        <v>1.4019326978530267E-3</v>
      </c>
    </row>
    <row r="143" spans="1:5" s="9" customFormat="1" x14ac:dyDescent="0.35">
      <c r="A143" s="41" t="s">
        <v>105</v>
      </c>
      <c r="B143" s="41">
        <v>2024</v>
      </c>
      <c r="C143" s="41">
        <v>61</v>
      </c>
      <c r="D143" s="42">
        <v>0.71599883006727116</v>
      </c>
      <c r="E143" s="42">
        <v>7.4105542418324592E-3</v>
      </c>
    </row>
    <row r="144" spans="1:5" s="9" customFormat="1" x14ac:dyDescent="0.35">
      <c r="A144" s="41" t="s">
        <v>106</v>
      </c>
      <c r="B144" s="41">
        <v>2024</v>
      </c>
      <c r="C144" s="41">
        <v>62</v>
      </c>
      <c r="D144" s="42">
        <v>0.86410735518940041</v>
      </c>
      <c r="E144" s="42">
        <v>1.0994162094325317E-2</v>
      </c>
    </row>
    <row r="145" spans="1:5" s="9" customFormat="1" x14ac:dyDescent="0.35">
      <c r="A145" s="41" t="s">
        <v>100</v>
      </c>
      <c r="B145" s="41">
        <v>2024</v>
      </c>
      <c r="C145" s="41">
        <v>63</v>
      </c>
      <c r="D145" s="42">
        <v>0.95025883412108936</v>
      </c>
      <c r="E145" s="42">
        <v>7.7542108873100059E-3</v>
      </c>
    </row>
    <row r="146" spans="1:5" s="9" customFormat="1" x14ac:dyDescent="0.35">
      <c r="A146" s="41" t="s">
        <v>102</v>
      </c>
      <c r="B146" s="41">
        <v>2024</v>
      </c>
      <c r="C146" s="41">
        <v>64</v>
      </c>
      <c r="D146" s="42">
        <v>0.89151550614394381</v>
      </c>
      <c r="E146" s="42">
        <v>1.3005830934852126E-2</v>
      </c>
    </row>
    <row r="147" spans="1:5" s="9" customFormat="1" x14ac:dyDescent="0.35">
      <c r="A147" s="41" t="s">
        <v>108</v>
      </c>
      <c r="B147" s="41">
        <v>2024</v>
      </c>
      <c r="C147" s="41">
        <v>65</v>
      </c>
      <c r="D147" s="42">
        <v>0.8825345058528915</v>
      </c>
      <c r="E147" s="42">
        <v>1.9234258958475688E-2</v>
      </c>
    </row>
    <row r="148" spans="1:5" s="9" customFormat="1" x14ac:dyDescent="0.35">
      <c r="A148" s="41" t="s">
        <v>101</v>
      </c>
      <c r="B148" s="41">
        <v>2024</v>
      </c>
      <c r="C148" s="41">
        <v>66</v>
      </c>
      <c r="D148" s="42">
        <v>0.97547102737291147</v>
      </c>
      <c r="E148" s="42">
        <v>4.9921603738175124E-3</v>
      </c>
    </row>
    <row r="149" spans="1:5" s="9" customFormat="1" x14ac:dyDescent="0.35">
      <c r="A149" s="41" t="s">
        <v>109</v>
      </c>
      <c r="B149" s="41">
        <v>2024</v>
      </c>
      <c r="C149" s="41">
        <v>67</v>
      </c>
      <c r="D149" s="42">
        <v>0.95606742870338302</v>
      </c>
      <c r="E149" s="42">
        <v>1.4986464424666671E-2</v>
      </c>
    </row>
    <row r="150" spans="1:5" s="9" customFormat="1" x14ac:dyDescent="0.35">
      <c r="A150" s="41" t="s">
        <v>110</v>
      </c>
      <c r="B150" s="41">
        <v>2024</v>
      </c>
      <c r="C150" s="41">
        <v>68</v>
      </c>
      <c r="D150" s="42">
        <v>0.93794859102641159</v>
      </c>
      <c r="E150" s="42">
        <v>1.4263441729203392E-2</v>
      </c>
    </row>
    <row r="151" spans="1:5" s="9" customFormat="1" x14ac:dyDescent="0.35">
      <c r="A151" s="41" t="s">
        <v>111</v>
      </c>
      <c r="B151" s="41">
        <v>2024</v>
      </c>
      <c r="C151" s="41">
        <v>69</v>
      </c>
      <c r="D151" s="42">
        <v>0.7439674254638865</v>
      </c>
      <c r="E151" s="42">
        <v>8.8546283115325045E-3</v>
      </c>
    </row>
    <row r="152" spans="1:5" s="9" customFormat="1" x14ac:dyDescent="0.35">
      <c r="A152" t="s">
        <v>114</v>
      </c>
      <c r="B152">
        <v>2023</v>
      </c>
      <c r="C152">
        <v>1</v>
      </c>
      <c r="D152" s="8"/>
      <c r="E152" s="8"/>
    </row>
    <row r="153" spans="1:5" s="9" customFormat="1" x14ac:dyDescent="0.35">
      <c r="A153" t="s">
        <v>72</v>
      </c>
      <c r="B153">
        <v>2023</v>
      </c>
      <c r="C153">
        <v>2</v>
      </c>
      <c r="D153" s="8">
        <v>0.99029126213592233</v>
      </c>
      <c r="E153" s="8"/>
    </row>
    <row r="154" spans="1:5" s="9" customFormat="1" x14ac:dyDescent="0.35">
      <c r="A154" t="s">
        <v>113</v>
      </c>
      <c r="B154">
        <v>2023</v>
      </c>
      <c r="C154">
        <v>3</v>
      </c>
      <c r="D154" s="8">
        <v>1</v>
      </c>
      <c r="E154" s="8">
        <v>0.11524163568773234</v>
      </c>
    </row>
    <row r="155" spans="1:5" s="9" customFormat="1" x14ac:dyDescent="0.35">
      <c r="A155" t="s">
        <v>69</v>
      </c>
      <c r="B155">
        <v>2023</v>
      </c>
      <c r="C155">
        <v>4</v>
      </c>
      <c r="D155" s="8">
        <v>1</v>
      </c>
      <c r="E155" s="8">
        <v>0.15616621983914208</v>
      </c>
    </row>
    <row r="156" spans="1:5" s="9" customFormat="1" x14ac:dyDescent="0.35">
      <c r="A156" t="s">
        <v>77</v>
      </c>
      <c r="B156">
        <v>2023</v>
      </c>
      <c r="C156">
        <v>5</v>
      </c>
      <c r="D156" s="8">
        <v>0.8098859315589354</v>
      </c>
      <c r="E156" s="8">
        <v>5.2192895415757092E-2</v>
      </c>
    </row>
    <row r="157" spans="1:5" s="9" customFormat="1" x14ac:dyDescent="0.35">
      <c r="A157" t="s">
        <v>117</v>
      </c>
      <c r="B157">
        <v>2023</v>
      </c>
      <c r="C157">
        <v>6</v>
      </c>
      <c r="D157" s="8">
        <v>0.8044806517311609</v>
      </c>
      <c r="E157" s="8">
        <v>0.17078260869565218</v>
      </c>
    </row>
    <row r="158" spans="1:5" s="9" customFormat="1" x14ac:dyDescent="0.35">
      <c r="A158" t="s">
        <v>67</v>
      </c>
      <c r="B158">
        <v>2023</v>
      </c>
      <c r="C158">
        <v>7</v>
      </c>
      <c r="D158" s="8">
        <v>0.94339622641509435</v>
      </c>
      <c r="E158" s="8">
        <v>1.1030176899063476E-2</v>
      </c>
    </row>
    <row r="159" spans="1:5" s="9" customFormat="1" x14ac:dyDescent="0.35">
      <c r="A159" t="s">
        <v>62</v>
      </c>
      <c r="B159">
        <v>2023</v>
      </c>
      <c r="C159">
        <v>8</v>
      </c>
      <c r="D159" s="8">
        <v>0.8794520547945206</v>
      </c>
      <c r="E159" s="8">
        <v>2.7455995185798103E-2</v>
      </c>
    </row>
    <row r="160" spans="1:5" s="9" customFormat="1" x14ac:dyDescent="0.35">
      <c r="A160" t="s">
        <v>88</v>
      </c>
      <c r="B160">
        <v>2023</v>
      </c>
      <c r="C160">
        <v>9</v>
      </c>
      <c r="D160" s="8">
        <v>0.92254733218588636</v>
      </c>
      <c r="E160" s="8">
        <v>4.0935672514619881E-2</v>
      </c>
    </row>
    <row r="161" spans="1:5" s="9" customFormat="1" x14ac:dyDescent="0.35">
      <c r="A161" t="s">
        <v>70</v>
      </c>
      <c r="B161">
        <v>2023</v>
      </c>
      <c r="C161">
        <v>10</v>
      </c>
      <c r="D161" s="8">
        <v>0.97461928934010156</v>
      </c>
      <c r="E161" s="8">
        <v>1.3794552202226735E-2</v>
      </c>
    </row>
    <row r="162" spans="1:5" s="9" customFormat="1" x14ac:dyDescent="0.35">
      <c r="A162" t="s">
        <v>65</v>
      </c>
      <c r="B162">
        <v>2023</v>
      </c>
      <c r="C162">
        <v>11</v>
      </c>
      <c r="D162" s="8">
        <v>0.9946236559139785</v>
      </c>
      <c r="E162" s="8">
        <v>1.2183938163238569E-2</v>
      </c>
    </row>
    <row r="163" spans="1:5" s="9" customFormat="1" x14ac:dyDescent="0.35">
      <c r="A163" t="s">
        <v>121</v>
      </c>
      <c r="B163">
        <v>2023</v>
      </c>
      <c r="C163">
        <v>12</v>
      </c>
      <c r="D163" s="8">
        <v>0.93023255813953487</v>
      </c>
      <c r="E163" s="8">
        <v>2.5329877474081055E-3</v>
      </c>
    </row>
    <row r="164" spans="1:5" s="9" customFormat="1" x14ac:dyDescent="0.35">
      <c r="A164" t="s">
        <v>122</v>
      </c>
      <c r="B164">
        <v>2023</v>
      </c>
      <c r="C164">
        <v>13</v>
      </c>
      <c r="D164" s="8">
        <v>0.95897435897435901</v>
      </c>
      <c r="E164" s="8">
        <v>1.1002031144211239E-2</v>
      </c>
    </row>
    <row r="165" spans="1:5" s="9" customFormat="1" x14ac:dyDescent="0.35">
      <c r="A165" t="s">
        <v>64</v>
      </c>
      <c r="B165">
        <v>2023</v>
      </c>
      <c r="C165">
        <v>14</v>
      </c>
      <c r="D165" s="8">
        <v>0.4</v>
      </c>
      <c r="E165" s="8">
        <v>1.9655191778514066E-3</v>
      </c>
    </row>
    <row r="166" spans="1:5" s="9" customFormat="1" x14ac:dyDescent="0.35">
      <c r="A166" t="s">
        <v>71</v>
      </c>
      <c r="B166">
        <v>2023</v>
      </c>
      <c r="C166">
        <v>15</v>
      </c>
      <c r="D166" s="8">
        <v>0.734375</v>
      </c>
      <c r="E166" s="8">
        <v>2.984765260648772E-2</v>
      </c>
    </row>
    <row r="167" spans="1:5" s="9" customFormat="1" x14ac:dyDescent="0.35">
      <c r="A167" t="s">
        <v>90</v>
      </c>
      <c r="B167">
        <v>2023</v>
      </c>
      <c r="C167">
        <v>16</v>
      </c>
      <c r="D167" s="8">
        <v>1</v>
      </c>
      <c r="E167" s="8">
        <v>2.3130300693909021E-3</v>
      </c>
    </row>
    <row r="168" spans="1:5" s="9" customFormat="1" x14ac:dyDescent="0.35">
      <c r="A168" t="s">
        <v>123</v>
      </c>
      <c r="B168">
        <v>2023</v>
      </c>
      <c r="C168">
        <v>17</v>
      </c>
      <c r="D168" s="8">
        <v>1</v>
      </c>
      <c r="E168" s="8">
        <v>6.9572429045337263E-3</v>
      </c>
    </row>
    <row r="169" spans="1:5" s="9" customFormat="1" x14ac:dyDescent="0.35">
      <c r="A169" t="s">
        <v>51</v>
      </c>
      <c r="B169">
        <v>2023</v>
      </c>
      <c r="C169">
        <v>18</v>
      </c>
      <c r="D169" s="8">
        <v>0.97777777777777775</v>
      </c>
      <c r="E169" s="8">
        <v>1.9179133103183737E-3</v>
      </c>
    </row>
    <row r="170" spans="1:5" s="9" customFormat="1" x14ac:dyDescent="0.35">
      <c r="A170" t="s">
        <v>124</v>
      </c>
      <c r="B170">
        <v>2023</v>
      </c>
      <c r="C170">
        <v>19</v>
      </c>
      <c r="D170" s="8">
        <v>0.66176470588235292</v>
      </c>
      <c r="E170" s="8">
        <v>1.0426249616681999E-2</v>
      </c>
    </row>
    <row r="171" spans="1:5" s="9" customFormat="1" x14ac:dyDescent="0.35">
      <c r="A171" t="s">
        <v>49</v>
      </c>
      <c r="B171">
        <v>2023</v>
      </c>
      <c r="C171">
        <v>20</v>
      </c>
      <c r="D171" s="8">
        <v>0.55555555555555558</v>
      </c>
      <c r="E171" s="8">
        <v>3.1567870922483338E-4</v>
      </c>
    </row>
    <row r="172" spans="1:5" s="9" customFormat="1" x14ac:dyDescent="0.35">
      <c r="A172" t="s">
        <v>46</v>
      </c>
      <c r="B172">
        <v>2023</v>
      </c>
      <c r="C172">
        <v>21</v>
      </c>
      <c r="D172" s="8">
        <v>1</v>
      </c>
      <c r="E172" s="8">
        <v>1.4687297195750931E-3</v>
      </c>
    </row>
    <row r="173" spans="1:5" s="9" customFormat="1" x14ac:dyDescent="0.35">
      <c r="A173" t="s">
        <v>48</v>
      </c>
      <c r="B173">
        <v>2023</v>
      </c>
      <c r="C173">
        <v>22</v>
      </c>
      <c r="D173" s="8">
        <v>1</v>
      </c>
      <c r="E173" s="8">
        <v>1.6805592901317559E-4</v>
      </c>
    </row>
    <row r="174" spans="1:5" s="9" customFormat="1" x14ac:dyDescent="0.35">
      <c r="A174" t="s">
        <v>57</v>
      </c>
      <c r="B174">
        <v>2023</v>
      </c>
      <c r="C174">
        <v>23</v>
      </c>
      <c r="D174" s="8">
        <v>1</v>
      </c>
      <c r="E174" s="8">
        <v>1.2625883060273561E-3</v>
      </c>
    </row>
    <row r="175" spans="1:5" s="9" customFormat="1" x14ac:dyDescent="0.35">
      <c r="A175" t="s">
        <v>78</v>
      </c>
      <c r="B175">
        <v>2023</v>
      </c>
      <c r="C175">
        <v>24</v>
      </c>
      <c r="D175" s="8">
        <v>0.95675675675675675</v>
      </c>
      <c r="E175" s="8">
        <v>5.5322966507177036E-3</v>
      </c>
    </row>
    <row r="176" spans="1:5" s="9" customFormat="1" x14ac:dyDescent="0.35">
      <c r="A176" t="s">
        <v>50</v>
      </c>
      <c r="B176">
        <v>2023</v>
      </c>
      <c r="C176">
        <v>25</v>
      </c>
      <c r="D176" s="8">
        <v>1</v>
      </c>
      <c r="E176" s="8">
        <v>6.4518021056335958E-4</v>
      </c>
    </row>
    <row r="177" spans="1:5" s="9" customFormat="1" x14ac:dyDescent="0.35">
      <c r="A177" t="s">
        <v>104</v>
      </c>
      <c r="B177">
        <v>2023</v>
      </c>
      <c r="C177">
        <v>26</v>
      </c>
      <c r="D177" s="8">
        <v>0.9341176470588235</v>
      </c>
      <c r="E177" s="8">
        <v>7.2825931743538477E-2</v>
      </c>
    </row>
    <row r="178" spans="1:5" s="9" customFormat="1" x14ac:dyDescent="0.35">
      <c r="A178" t="s">
        <v>86</v>
      </c>
      <c r="B178">
        <v>2023</v>
      </c>
      <c r="C178">
        <v>27</v>
      </c>
      <c r="D178" s="8">
        <v>0.89855072463768115</v>
      </c>
      <c r="E178" s="8">
        <v>1.1578152529574628E-2</v>
      </c>
    </row>
    <row r="179" spans="1:5" s="9" customFormat="1" x14ac:dyDescent="0.35">
      <c r="A179" t="s">
        <v>53</v>
      </c>
      <c r="B179">
        <v>2023</v>
      </c>
      <c r="C179">
        <v>28</v>
      </c>
      <c r="D179" s="8">
        <v>1</v>
      </c>
      <c r="E179" s="8">
        <v>1.5602797358669305E-3</v>
      </c>
    </row>
    <row r="180" spans="1:5" s="9" customFormat="1" x14ac:dyDescent="0.35">
      <c r="A180" t="s">
        <v>73</v>
      </c>
      <c r="B180">
        <v>2023</v>
      </c>
      <c r="C180">
        <v>29</v>
      </c>
      <c r="D180" s="8">
        <v>0.9963503649635036</v>
      </c>
      <c r="E180" s="8">
        <v>1.4279758182197207E-2</v>
      </c>
    </row>
    <row r="181" spans="1:5" s="9" customFormat="1" x14ac:dyDescent="0.35">
      <c r="A181" t="s">
        <v>61</v>
      </c>
      <c r="B181">
        <v>2023</v>
      </c>
      <c r="C181">
        <v>30</v>
      </c>
      <c r="D181" s="8">
        <v>1</v>
      </c>
      <c r="E181" s="8">
        <v>1.7677855086916121E-3</v>
      </c>
    </row>
    <row r="182" spans="1:5" s="9" customFormat="1" x14ac:dyDescent="0.35">
      <c r="A182" t="s">
        <v>66</v>
      </c>
      <c r="B182">
        <v>2023</v>
      </c>
      <c r="C182">
        <v>31</v>
      </c>
      <c r="D182" s="8">
        <v>0.96282527881040891</v>
      </c>
      <c r="E182" s="8">
        <v>5.8743885394828789E-3</v>
      </c>
    </row>
    <row r="183" spans="1:5" s="9" customFormat="1" x14ac:dyDescent="0.35">
      <c r="A183" t="s">
        <v>89</v>
      </c>
      <c r="B183">
        <v>2023</v>
      </c>
      <c r="C183">
        <v>32</v>
      </c>
      <c r="D183" s="8">
        <v>0.97177419354838712</v>
      </c>
      <c r="E183" s="8">
        <v>5.0700194214453641E-3</v>
      </c>
    </row>
    <row r="184" spans="1:5" s="9" customFormat="1" x14ac:dyDescent="0.35">
      <c r="A184" t="s">
        <v>58</v>
      </c>
      <c r="B184">
        <v>2023</v>
      </c>
      <c r="C184">
        <v>33</v>
      </c>
      <c r="D184" s="8">
        <v>0.970873786407767</v>
      </c>
      <c r="E184" s="8">
        <v>2.0390386823454882E-3</v>
      </c>
    </row>
    <row r="185" spans="1:5" s="9" customFormat="1" x14ac:dyDescent="0.35">
      <c r="A185" t="s">
        <v>96</v>
      </c>
      <c r="B185">
        <v>2023</v>
      </c>
      <c r="C185">
        <v>34</v>
      </c>
      <c r="D185" s="8">
        <v>0.93984962406015038</v>
      </c>
      <c r="E185" s="8">
        <v>2.8589853826311264E-2</v>
      </c>
    </row>
    <row r="186" spans="1:5" s="9" customFormat="1" x14ac:dyDescent="0.35">
      <c r="A186" t="s">
        <v>82</v>
      </c>
      <c r="B186">
        <v>2023</v>
      </c>
      <c r="C186">
        <v>35</v>
      </c>
      <c r="D186" s="8">
        <v>0.99908424908424909</v>
      </c>
      <c r="E186" s="8">
        <v>1.9053268891874444E-2</v>
      </c>
    </row>
    <row r="187" spans="1:5" s="9" customFormat="1" x14ac:dyDescent="0.35">
      <c r="A187" t="s">
        <v>83</v>
      </c>
      <c r="B187">
        <v>2023</v>
      </c>
      <c r="C187">
        <v>36</v>
      </c>
      <c r="D187" s="8">
        <v>0.94148020654044751</v>
      </c>
      <c r="E187" s="8">
        <v>1.0137139267892661E-2</v>
      </c>
    </row>
    <row r="188" spans="1:5" s="9" customFormat="1" x14ac:dyDescent="0.35">
      <c r="A188" t="s">
        <v>55</v>
      </c>
      <c r="B188">
        <v>2023</v>
      </c>
      <c r="C188">
        <v>37</v>
      </c>
      <c r="D188" s="8">
        <v>0.98888888888888893</v>
      </c>
      <c r="E188" s="8">
        <v>1.4699397324709686E-3</v>
      </c>
    </row>
    <row r="189" spans="1:5" s="9" customFormat="1" x14ac:dyDescent="0.35">
      <c r="A189" t="s">
        <v>74</v>
      </c>
      <c r="B189">
        <v>2023</v>
      </c>
      <c r="C189">
        <v>38</v>
      </c>
      <c r="D189" s="8">
        <v>0.92592592592592593</v>
      </c>
      <c r="E189" s="8">
        <v>2.5812208218479629E-3</v>
      </c>
    </row>
    <row r="190" spans="1:5" s="9" customFormat="1" x14ac:dyDescent="0.35">
      <c r="A190" t="s">
        <v>76</v>
      </c>
      <c r="B190">
        <v>2023</v>
      </c>
      <c r="C190">
        <v>39</v>
      </c>
      <c r="D190" s="8">
        <v>0.99659284497444633</v>
      </c>
      <c r="E190" s="8">
        <v>7.8435040553721993E-3</v>
      </c>
    </row>
    <row r="191" spans="1:5" s="9" customFormat="1" x14ac:dyDescent="0.35">
      <c r="A191" t="s">
        <v>81</v>
      </c>
      <c r="B191">
        <v>2023</v>
      </c>
      <c r="C191">
        <v>40</v>
      </c>
      <c r="D191" s="8">
        <v>0.94090909090909092</v>
      </c>
      <c r="E191" s="8">
        <v>2.80751904646444E-3</v>
      </c>
    </row>
    <row r="192" spans="1:5" s="9" customFormat="1" x14ac:dyDescent="0.35">
      <c r="A192" t="s">
        <v>56</v>
      </c>
      <c r="B192">
        <v>2023</v>
      </c>
      <c r="C192">
        <v>41</v>
      </c>
      <c r="D192" s="8">
        <v>0.9916666666666667</v>
      </c>
      <c r="E192" s="8">
        <v>1.4148941187567797E-3</v>
      </c>
    </row>
    <row r="193" spans="1:5" s="9" customFormat="1" x14ac:dyDescent="0.35">
      <c r="A193" t="s">
        <v>63</v>
      </c>
      <c r="B193">
        <v>2023</v>
      </c>
      <c r="C193">
        <v>42</v>
      </c>
      <c r="D193" s="8">
        <v>1</v>
      </c>
      <c r="E193" s="8">
        <v>2.0755671667991864E-3</v>
      </c>
    </row>
    <row r="194" spans="1:5" s="9" customFormat="1" x14ac:dyDescent="0.35">
      <c r="A194" t="s">
        <v>92</v>
      </c>
      <c r="B194">
        <v>2023</v>
      </c>
      <c r="C194">
        <v>43</v>
      </c>
      <c r="D194" s="8">
        <v>0.98305084745762716</v>
      </c>
      <c r="E194" s="8">
        <v>3.0569948186528499E-3</v>
      </c>
    </row>
    <row r="195" spans="1:5" s="9" customFormat="1" x14ac:dyDescent="0.35">
      <c r="A195" t="s">
        <v>60</v>
      </c>
      <c r="B195">
        <v>2023</v>
      </c>
      <c r="C195">
        <v>44</v>
      </c>
      <c r="D195" s="8">
        <v>0.94106090373280948</v>
      </c>
      <c r="E195" s="8">
        <v>4.1958618415629378E-3</v>
      </c>
    </row>
    <row r="196" spans="1:5" x14ac:dyDescent="0.35">
      <c r="A196" t="s">
        <v>97</v>
      </c>
      <c r="B196">
        <v>2023</v>
      </c>
      <c r="C196">
        <v>45</v>
      </c>
      <c r="D196" s="8">
        <v>0.9935228499460238</v>
      </c>
      <c r="E196" s="8">
        <v>2.2559931159332049E-2</v>
      </c>
    </row>
    <row r="197" spans="1:5" x14ac:dyDescent="0.35">
      <c r="A197" t="s">
        <v>87</v>
      </c>
      <c r="B197">
        <v>2023</v>
      </c>
      <c r="C197">
        <v>46</v>
      </c>
      <c r="D197" s="8">
        <v>0.85469107551487411</v>
      </c>
      <c r="E197" s="8">
        <v>7.053449653380249E-3</v>
      </c>
    </row>
    <row r="198" spans="1:5" x14ac:dyDescent="0.35">
      <c r="A198" t="s">
        <v>79</v>
      </c>
      <c r="B198">
        <v>2023</v>
      </c>
      <c r="C198">
        <v>47</v>
      </c>
      <c r="D198" s="8">
        <v>0.91330049261083746</v>
      </c>
      <c r="E198" s="8">
        <v>8.0377576635861855E-3</v>
      </c>
    </row>
    <row r="199" spans="1:5" x14ac:dyDescent="0.35">
      <c r="A199" t="s">
        <v>125</v>
      </c>
      <c r="B199">
        <v>2023</v>
      </c>
      <c r="C199">
        <v>48</v>
      </c>
      <c r="D199" s="8">
        <v>0.95907558979297058</v>
      </c>
      <c r="E199" s="8">
        <v>1.6283554942298044E-2</v>
      </c>
    </row>
    <row r="200" spans="1:5" x14ac:dyDescent="0.35">
      <c r="A200" t="s">
        <v>98</v>
      </c>
      <c r="B200">
        <v>2023</v>
      </c>
      <c r="C200">
        <v>49</v>
      </c>
      <c r="D200" s="8">
        <v>0.99427168576104741</v>
      </c>
      <c r="E200" s="8">
        <v>1.7628008626472305E-2</v>
      </c>
    </row>
    <row r="201" spans="1:5" x14ac:dyDescent="0.35">
      <c r="A201" t="s">
        <v>93</v>
      </c>
      <c r="B201">
        <v>2023</v>
      </c>
      <c r="C201">
        <v>50</v>
      </c>
      <c r="D201" s="8">
        <v>0.99632690541781455</v>
      </c>
      <c r="E201" s="8">
        <v>6.932287654926126E-3</v>
      </c>
    </row>
    <row r="202" spans="1:5" x14ac:dyDescent="0.35">
      <c r="A202" t="s">
        <v>94</v>
      </c>
      <c r="B202">
        <v>2023</v>
      </c>
      <c r="C202">
        <v>51</v>
      </c>
      <c r="D202" s="8">
        <v>0.93561872909698995</v>
      </c>
      <c r="E202" s="8">
        <v>6.3114788702663908E-3</v>
      </c>
    </row>
    <row r="203" spans="1:5" x14ac:dyDescent="0.35">
      <c r="A203" t="s">
        <v>103</v>
      </c>
      <c r="B203">
        <v>2023</v>
      </c>
      <c r="C203">
        <v>52</v>
      </c>
      <c r="D203" s="8">
        <v>0.72233676975945016</v>
      </c>
      <c r="E203" s="8">
        <v>1.49081687543226E-2</v>
      </c>
    </row>
    <row r="204" spans="1:5" x14ac:dyDescent="0.35">
      <c r="A204" t="s">
        <v>95</v>
      </c>
      <c r="B204">
        <v>2023</v>
      </c>
      <c r="C204">
        <v>53</v>
      </c>
      <c r="D204" s="8">
        <v>0.84717080909571651</v>
      </c>
      <c r="E204" s="8">
        <v>9.1315160441364663E-3</v>
      </c>
    </row>
    <row r="205" spans="1:5" x14ac:dyDescent="0.35">
      <c r="A205" t="s">
        <v>120</v>
      </c>
      <c r="B205">
        <v>2023</v>
      </c>
      <c r="C205">
        <v>54</v>
      </c>
      <c r="D205" s="8">
        <v>0.72993827160493829</v>
      </c>
      <c r="E205" s="8">
        <v>5.3488736823858619E-3</v>
      </c>
    </row>
    <row r="206" spans="1:5" x14ac:dyDescent="0.35">
      <c r="A206" t="s">
        <v>106</v>
      </c>
      <c r="B206">
        <v>2023</v>
      </c>
      <c r="C206">
        <v>55</v>
      </c>
      <c r="D206" s="8">
        <v>0.70860786397449527</v>
      </c>
      <c r="E206" s="8">
        <v>1.9058922654395502E-2</v>
      </c>
    </row>
    <row r="207" spans="1:5" x14ac:dyDescent="0.35">
      <c r="A207" t="s">
        <v>80</v>
      </c>
      <c r="B207">
        <v>2023</v>
      </c>
      <c r="C207">
        <v>56</v>
      </c>
      <c r="D207" s="8">
        <v>0.92409867172675519</v>
      </c>
      <c r="E207" s="8">
        <v>3.6400809520849308E-3</v>
      </c>
    </row>
    <row r="208" spans="1:5" x14ac:dyDescent="0.35">
      <c r="A208" t="s">
        <v>105</v>
      </c>
      <c r="B208">
        <v>2023</v>
      </c>
      <c r="C208">
        <v>57</v>
      </c>
      <c r="D208" s="8">
        <v>0.78125866370945385</v>
      </c>
      <c r="E208" s="8">
        <v>8.0118878913208614E-3</v>
      </c>
    </row>
    <row r="209" spans="1:5" x14ac:dyDescent="0.35">
      <c r="A209" t="s">
        <v>100</v>
      </c>
      <c r="B209">
        <v>2023</v>
      </c>
      <c r="C209">
        <v>58</v>
      </c>
      <c r="D209" s="8">
        <v>0.86522053506869123</v>
      </c>
      <c r="E209" s="8">
        <v>1.1559852956664342E-2</v>
      </c>
    </row>
    <row r="210" spans="1:5" x14ac:dyDescent="0.35">
      <c r="A210" t="s">
        <v>102</v>
      </c>
      <c r="B210">
        <v>2023</v>
      </c>
      <c r="C210">
        <v>59</v>
      </c>
      <c r="D210" s="8">
        <v>0.73956923076923076</v>
      </c>
      <c r="E210" s="8">
        <v>1.1412414459564235E-2</v>
      </c>
    </row>
    <row r="211" spans="1:5" x14ac:dyDescent="0.35">
      <c r="A211" t="s">
        <v>108</v>
      </c>
      <c r="B211">
        <v>2023</v>
      </c>
      <c r="C211">
        <v>60</v>
      </c>
      <c r="D211" s="8">
        <v>0.8747048766587967</v>
      </c>
      <c r="E211" s="8">
        <v>1.6227563738403693E-2</v>
      </c>
    </row>
    <row r="212" spans="1:5" x14ac:dyDescent="0.35">
      <c r="A212" t="s">
        <v>109</v>
      </c>
      <c r="B212">
        <v>2023</v>
      </c>
      <c r="C212">
        <v>61</v>
      </c>
      <c r="D212" s="8">
        <v>0.89471855455177207</v>
      </c>
      <c r="E212" s="8">
        <v>1.1503062120732191E-2</v>
      </c>
    </row>
    <row r="213" spans="1:5" x14ac:dyDescent="0.35">
      <c r="A213" t="s">
        <v>101</v>
      </c>
      <c r="B213">
        <v>2023</v>
      </c>
      <c r="C213">
        <v>62</v>
      </c>
      <c r="D213" s="8">
        <v>0.6211121583411876</v>
      </c>
      <c r="E213" s="8">
        <v>3.6646199252051417E-3</v>
      </c>
    </row>
    <row r="214" spans="1:5" x14ac:dyDescent="0.35">
      <c r="A214" t="s">
        <v>111</v>
      </c>
      <c r="B214">
        <v>2023</v>
      </c>
      <c r="C214">
        <v>63</v>
      </c>
      <c r="D214" s="8">
        <v>0.68542114843620716</v>
      </c>
      <c r="E214" s="8">
        <v>7.1855806098956258E-3</v>
      </c>
    </row>
    <row r="215" spans="1:5" x14ac:dyDescent="0.35">
      <c r="A215" t="s">
        <v>110</v>
      </c>
      <c r="B215">
        <v>2023</v>
      </c>
      <c r="C215">
        <v>64</v>
      </c>
      <c r="D215" s="8">
        <v>0.82483964383339192</v>
      </c>
      <c r="E215" s="8">
        <v>8.5497931912185809E-3</v>
      </c>
    </row>
    <row r="216" spans="1:5" x14ac:dyDescent="0.35">
      <c r="A216" t="s">
        <v>62</v>
      </c>
      <c r="B216" s="9">
        <v>2022</v>
      </c>
      <c r="C216" s="6">
        <v>1</v>
      </c>
      <c r="D216" s="8">
        <v>0.82499999999999996</v>
      </c>
      <c r="E216" s="43">
        <v>4.1422160856057988E-2</v>
      </c>
    </row>
    <row r="217" spans="1:5" x14ac:dyDescent="0.35">
      <c r="A217" t="s">
        <v>69</v>
      </c>
      <c r="B217" s="9">
        <v>2022</v>
      </c>
      <c r="C217" s="6">
        <v>2</v>
      </c>
      <c r="D217" s="8">
        <v>1</v>
      </c>
      <c r="E217" s="43">
        <v>1.3919645681746282E-2</v>
      </c>
    </row>
    <row r="218" spans="1:5" x14ac:dyDescent="0.35">
      <c r="A218" t="s">
        <v>126</v>
      </c>
      <c r="B218" s="9">
        <v>2022</v>
      </c>
      <c r="C218" s="6">
        <v>3</v>
      </c>
      <c r="D218" s="8">
        <v>1</v>
      </c>
      <c r="E218" s="43">
        <v>5.8581235697940506E-2</v>
      </c>
    </row>
    <row r="219" spans="1:5" x14ac:dyDescent="0.35">
      <c r="A219" t="s">
        <v>77</v>
      </c>
      <c r="B219" s="9">
        <v>2022</v>
      </c>
      <c r="C219" s="6">
        <v>4</v>
      </c>
      <c r="D219" s="8">
        <v>0.8771929824561403</v>
      </c>
      <c r="E219" s="43">
        <v>4.9384855311037951E-2</v>
      </c>
    </row>
    <row r="220" spans="1:5" x14ac:dyDescent="0.35">
      <c r="A220" t="s">
        <v>124</v>
      </c>
      <c r="B220" s="9">
        <v>2022</v>
      </c>
      <c r="C220" s="6">
        <v>5</v>
      </c>
      <c r="D220" s="8">
        <v>0.77168949771689499</v>
      </c>
      <c r="E220" s="43">
        <v>2.8949107732980834E-2</v>
      </c>
    </row>
    <row r="221" spans="1:5" x14ac:dyDescent="0.35">
      <c r="A221" t="s">
        <v>88</v>
      </c>
      <c r="B221" s="9">
        <v>2022</v>
      </c>
      <c r="C221" s="6">
        <v>6</v>
      </c>
      <c r="D221" s="8">
        <v>0.79821958456973297</v>
      </c>
      <c r="E221" s="43">
        <v>5.8073410305014644E-2</v>
      </c>
    </row>
    <row r="222" spans="1:5" x14ac:dyDescent="0.35">
      <c r="A222" t="s">
        <v>70</v>
      </c>
      <c r="B222" s="9">
        <v>2022</v>
      </c>
      <c r="C222" s="6">
        <v>7</v>
      </c>
      <c r="D222" s="8">
        <v>0.95348837209302328</v>
      </c>
      <c r="E222" s="43">
        <v>1.0662919490824929E-2</v>
      </c>
    </row>
    <row r="223" spans="1:5" x14ac:dyDescent="0.35">
      <c r="A223" t="s">
        <v>75</v>
      </c>
      <c r="B223" s="9">
        <v>2022</v>
      </c>
      <c r="C223" s="6">
        <v>8</v>
      </c>
      <c r="D223" s="8">
        <v>0.86206896551724133</v>
      </c>
      <c r="E223" s="43">
        <v>1.5684153596538668E-2</v>
      </c>
    </row>
    <row r="224" spans="1:5" x14ac:dyDescent="0.35">
      <c r="A224" t="s">
        <v>64</v>
      </c>
      <c r="B224" s="9">
        <v>2022</v>
      </c>
      <c r="C224" s="6">
        <v>9</v>
      </c>
      <c r="D224" s="8">
        <v>0.65957446808510634</v>
      </c>
      <c r="E224" s="43">
        <v>2.7374919913798123E-3</v>
      </c>
    </row>
    <row r="225" spans="1:5" x14ac:dyDescent="0.35">
      <c r="A225" t="s">
        <v>49</v>
      </c>
      <c r="B225" s="9">
        <v>2022</v>
      </c>
      <c r="C225" s="6">
        <v>10</v>
      </c>
      <c r="D225" s="8">
        <v>1</v>
      </c>
      <c r="E225" s="43">
        <v>6.8703096924215197E-4</v>
      </c>
    </row>
    <row r="226" spans="1:5" x14ac:dyDescent="0.35">
      <c r="A226" t="s">
        <v>61</v>
      </c>
      <c r="B226" s="9">
        <v>2022</v>
      </c>
      <c r="C226" s="6">
        <v>11</v>
      </c>
      <c r="D226" s="8">
        <v>0.93333333333333335</v>
      </c>
      <c r="E226" s="43">
        <v>7.2296124927703873E-4</v>
      </c>
    </row>
    <row r="227" spans="1:5" x14ac:dyDescent="0.35">
      <c r="A227" t="s">
        <v>90</v>
      </c>
      <c r="B227" s="9">
        <v>2022</v>
      </c>
      <c r="C227" s="6">
        <v>12</v>
      </c>
      <c r="D227" s="8">
        <v>1</v>
      </c>
      <c r="E227" s="43">
        <v>2.8837517137049119E-3</v>
      </c>
    </row>
    <row r="228" spans="1:5" x14ac:dyDescent="0.35">
      <c r="A228" t="s">
        <v>51</v>
      </c>
      <c r="B228" s="9">
        <v>2022</v>
      </c>
      <c r="C228" s="6">
        <v>13</v>
      </c>
      <c r="D228" s="8">
        <v>1</v>
      </c>
      <c r="E228" s="43">
        <v>2.5588758294661056E-3</v>
      </c>
    </row>
    <row r="229" spans="1:5" x14ac:dyDescent="0.35">
      <c r="A229" t="s">
        <v>48</v>
      </c>
      <c r="B229" s="9">
        <v>2022</v>
      </c>
      <c r="C229" s="6">
        <v>14</v>
      </c>
      <c r="D229" s="8">
        <v>1</v>
      </c>
      <c r="E229" s="43">
        <v>4.657661853749418E-4</v>
      </c>
    </row>
    <row r="230" spans="1:5" x14ac:dyDescent="0.35">
      <c r="A230" t="s">
        <v>71</v>
      </c>
      <c r="B230" s="9">
        <v>2022</v>
      </c>
      <c r="C230" s="6">
        <v>15</v>
      </c>
      <c r="D230" s="8">
        <v>0.4637223974763407</v>
      </c>
      <c r="E230" s="43">
        <v>1.328694777433146E-2</v>
      </c>
    </row>
    <row r="231" spans="1:5" x14ac:dyDescent="0.35">
      <c r="A231" t="s">
        <v>123</v>
      </c>
      <c r="B231" s="9">
        <v>2022</v>
      </c>
      <c r="C231" s="6">
        <v>16</v>
      </c>
      <c r="D231" s="8">
        <v>1</v>
      </c>
      <c r="E231" s="43">
        <v>6.6117713868494707E-3</v>
      </c>
    </row>
    <row r="232" spans="1:5" x14ac:dyDescent="0.35">
      <c r="A232" t="s">
        <v>73</v>
      </c>
      <c r="B232" s="9">
        <v>2022</v>
      </c>
      <c r="C232" s="6">
        <v>17</v>
      </c>
      <c r="D232" s="8">
        <v>1</v>
      </c>
      <c r="E232" s="43">
        <v>1.4038040733883185E-2</v>
      </c>
    </row>
    <row r="233" spans="1:5" x14ac:dyDescent="0.35">
      <c r="A233" t="s">
        <v>46</v>
      </c>
      <c r="B233" s="9">
        <v>2022</v>
      </c>
      <c r="C233" s="6">
        <v>18</v>
      </c>
      <c r="D233" s="8">
        <v>1</v>
      </c>
      <c r="E233" s="43">
        <v>9.6249585131098574E-4</v>
      </c>
    </row>
    <row r="234" spans="1:5" x14ac:dyDescent="0.35">
      <c r="A234" t="s">
        <v>104</v>
      </c>
      <c r="B234" s="9">
        <v>2022</v>
      </c>
      <c r="C234" s="6">
        <v>19</v>
      </c>
      <c r="D234" s="8">
        <v>0.75749758142534662</v>
      </c>
      <c r="E234" s="43">
        <v>9.8607224624777404E-2</v>
      </c>
    </row>
    <row r="235" spans="1:5" x14ac:dyDescent="0.35">
      <c r="A235" t="s">
        <v>78</v>
      </c>
      <c r="B235" s="9">
        <v>2022</v>
      </c>
      <c r="C235" s="6">
        <v>20</v>
      </c>
      <c r="D235" s="8">
        <v>0.90677966101694918</v>
      </c>
      <c r="E235" s="43">
        <v>7.0639647999042173E-3</v>
      </c>
    </row>
    <row r="236" spans="1:5" x14ac:dyDescent="0.35">
      <c r="A236" t="s">
        <v>53</v>
      </c>
      <c r="B236" s="9">
        <v>2022</v>
      </c>
      <c r="C236" s="6">
        <v>21</v>
      </c>
      <c r="D236" s="8">
        <v>1</v>
      </c>
      <c r="E236" s="43">
        <v>1.838020772552223E-3</v>
      </c>
    </row>
    <row r="237" spans="1:5" x14ac:dyDescent="0.35">
      <c r="A237" t="s">
        <v>50</v>
      </c>
      <c r="B237" s="9">
        <v>2022</v>
      </c>
      <c r="C237" s="6">
        <v>22</v>
      </c>
      <c r="D237" s="8">
        <v>0.97142857142857142</v>
      </c>
      <c r="E237" s="43">
        <v>9.7176333398117556E-4</v>
      </c>
    </row>
    <row r="238" spans="1:5" x14ac:dyDescent="0.35">
      <c r="A238" t="s">
        <v>86</v>
      </c>
      <c r="B238" s="9">
        <v>2022</v>
      </c>
      <c r="C238" s="6">
        <v>23</v>
      </c>
      <c r="D238" s="8">
        <v>0.76714513556618824</v>
      </c>
      <c r="E238" s="43">
        <v>1.6409316932740121E-2</v>
      </c>
    </row>
    <row r="239" spans="1:5" x14ac:dyDescent="0.35">
      <c r="A239" t="s">
        <v>117</v>
      </c>
      <c r="B239" s="9">
        <v>2022</v>
      </c>
      <c r="C239" s="6">
        <v>24</v>
      </c>
      <c r="D239" s="8">
        <v>0.94377391816308509</v>
      </c>
      <c r="E239" s="43">
        <v>8.0301633453892157E-2</v>
      </c>
    </row>
    <row r="240" spans="1:5" x14ac:dyDescent="0.35">
      <c r="A240" t="s">
        <v>96</v>
      </c>
      <c r="B240" s="9">
        <v>2022</v>
      </c>
      <c r="C240" s="6">
        <v>25</v>
      </c>
      <c r="D240" s="8">
        <v>0.91845811712379544</v>
      </c>
      <c r="E240" s="43">
        <v>3.0385620326155511E-2</v>
      </c>
    </row>
    <row r="241" spans="1:5" x14ac:dyDescent="0.35">
      <c r="A241" t="s">
        <v>66</v>
      </c>
      <c r="B241" s="9">
        <v>2022</v>
      </c>
      <c r="C241" s="6">
        <v>26</v>
      </c>
      <c r="D241" s="8">
        <v>0.6517857142857143</v>
      </c>
      <c r="E241" s="43">
        <v>4.7927766009799519E-3</v>
      </c>
    </row>
    <row r="242" spans="1:5" x14ac:dyDescent="0.35">
      <c r="A242" t="s">
        <v>58</v>
      </c>
      <c r="B242" s="9">
        <v>2022</v>
      </c>
      <c r="C242" s="6">
        <v>27</v>
      </c>
      <c r="D242" s="8">
        <v>0.89772727272727271</v>
      </c>
      <c r="E242" s="43">
        <v>1.6052535570959504E-3</v>
      </c>
    </row>
    <row r="243" spans="1:5" x14ac:dyDescent="0.35">
      <c r="A243" t="s">
        <v>83</v>
      </c>
      <c r="B243" s="9">
        <v>2022</v>
      </c>
      <c r="C243" s="6">
        <v>28</v>
      </c>
      <c r="D243" s="8">
        <v>0.94260869565217387</v>
      </c>
      <c r="E243" s="43">
        <v>1.0036655611799616E-2</v>
      </c>
    </row>
    <row r="244" spans="1:5" x14ac:dyDescent="0.35">
      <c r="A244" t="s">
        <v>55</v>
      </c>
      <c r="B244" s="9">
        <v>2022</v>
      </c>
      <c r="C244" s="6">
        <v>29</v>
      </c>
      <c r="D244" s="8">
        <v>0.95844155844155843</v>
      </c>
      <c r="E244" s="43">
        <v>6.4752678406243165E-3</v>
      </c>
    </row>
    <row r="245" spans="1:5" x14ac:dyDescent="0.35">
      <c r="A245" t="s">
        <v>81</v>
      </c>
      <c r="B245" s="9">
        <v>2022</v>
      </c>
      <c r="C245" s="6">
        <v>30</v>
      </c>
      <c r="D245" s="8">
        <v>0.97810218978102192</v>
      </c>
      <c r="E245" s="43">
        <v>2.0213943194393215E-3</v>
      </c>
    </row>
    <row r="246" spans="1:5" x14ac:dyDescent="0.35">
      <c r="A246" t="s">
        <v>74</v>
      </c>
      <c r="B246" s="9">
        <v>2022</v>
      </c>
      <c r="C246" s="6">
        <v>31</v>
      </c>
      <c r="D246" s="8">
        <v>0.93600000000000005</v>
      </c>
      <c r="E246" s="43">
        <v>3.230850747618863E-3</v>
      </c>
    </row>
    <row r="247" spans="1:5" x14ac:dyDescent="0.35">
      <c r="A247" t="s">
        <v>114</v>
      </c>
      <c r="B247" s="9">
        <v>2022</v>
      </c>
      <c r="C247" s="6">
        <v>32</v>
      </c>
      <c r="D247" s="8">
        <v>0.66666666666666663</v>
      </c>
      <c r="E247" s="43">
        <v>1.4341886675192121E-4</v>
      </c>
    </row>
    <row r="248" spans="1:5" x14ac:dyDescent="0.35">
      <c r="A248" t="s">
        <v>56</v>
      </c>
      <c r="B248" s="9">
        <v>2022</v>
      </c>
      <c r="C248" s="6">
        <v>33</v>
      </c>
      <c r="D248" s="8">
        <v>0.89130434782608692</v>
      </c>
      <c r="E248" s="43">
        <v>1.6104750901515946E-3</v>
      </c>
    </row>
    <row r="249" spans="1:5" x14ac:dyDescent="0.35">
      <c r="A249" t="s">
        <v>82</v>
      </c>
      <c r="B249" s="9">
        <v>2022</v>
      </c>
      <c r="C249" s="6">
        <v>34</v>
      </c>
      <c r="D249" s="8">
        <v>1</v>
      </c>
      <c r="E249" s="43">
        <v>1.0610408108498648E-2</v>
      </c>
    </row>
    <row r="250" spans="1:5" x14ac:dyDescent="0.35">
      <c r="A250" t="s">
        <v>63</v>
      </c>
      <c r="B250" s="9">
        <v>2022</v>
      </c>
      <c r="C250" s="6">
        <v>35</v>
      </c>
      <c r="D250" s="8">
        <v>0.99339933993399343</v>
      </c>
      <c r="E250" s="43">
        <v>3.0717138744145497E-3</v>
      </c>
    </row>
    <row r="251" spans="1:5" x14ac:dyDescent="0.35">
      <c r="A251" t="s">
        <v>87</v>
      </c>
      <c r="B251" s="9">
        <v>2022</v>
      </c>
      <c r="C251" s="6">
        <v>36</v>
      </c>
      <c r="D251" s="8">
        <v>0.81598240469208216</v>
      </c>
      <c r="E251" s="43">
        <v>1.2138147063796463E-2</v>
      </c>
    </row>
    <row r="252" spans="1:5" x14ac:dyDescent="0.35">
      <c r="A252" t="s">
        <v>79</v>
      </c>
      <c r="B252" s="9">
        <v>2022</v>
      </c>
      <c r="C252" s="6">
        <v>37</v>
      </c>
      <c r="D252" s="8">
        <v>0.68025078369905956</v>
      </c>
      <c r="E252" s="43">
        <v>5.1840837253898219E-3</v>
      </c>
    </row>
    <row r="253" spans="1:5" x14ac:dyDescent="0.35">
      <c r="A253" t="s">
        <v>92</v>
      </c>
      <c r="B253" s="9">
        <v>2022</v>
      </c>
      <c r="C253" s="6">
        <v>38</v>
      </c>
      <c r="D253" s="8">
        <v>0.94252873563218387</v>
      </c>
      <c r="E253" s="43">
        <v>2.8095557188183721E-3</v>
      </c>
    </row>
    <row r="254" spans="1:5" x14ac:dyDescent="0.35">
      <c r="A254" t="s">
        <v>97</v>
      </c>
      <c r="B254" s="9">
        <v>2022</v>
      </c>
      <c r="C254" s="6">
        <v>39</v>
      </c>
      <c r="D254" s="8">
        <v>0.94489402697495184</v>
      </c>
      <c r="E254" s="43">
        <v>2.0537537394938032E-2</v>
      </c>
    </row>
    <row r="255" spans="1:5" x14ac:dyDescent="0.35">
      <c r="A255" t="s">
        <v>60</v>
      </c>
      <c r="B255" s="9">
        <v>2022</v>
      </c>
      <c r="C255" s="6">
        <v>40</v>
      </c>
      <c r="D255" s="8">
        <v>0.80836236933797911</v>
      </c>
      <c r="E255" s="43">
        <v>2.2567328484371929E-3</v>
      </c>
    </row>
    <row r="256" spans="1:5" x14ac:dyDescent="0.35">
      <c r="A256" t="s">
        <v>125</v>
      </c>
      <c r="B256" s="9">
        <v>2022</v>
      </c>
      <c r="C256" s="6">
        <v>41</v>
      </c>
      <c r="D256" s="8">
        <v>0.92873252142534957</v>
      </c>
      <c r="E256" s="43">
        <v>1.7049387083378192E-2</v>
      </c>
    </row>
    <row r="257" spans="1:5" x14ac:dyDescent="0.35">
      <c r="A257" t="s">
        <v>72</v>
      </c>
      <c r="B257" s="9">
        <v>2022</v>
      </c>
      <c r="C257" s="6">
        <v>42</v>
      </c>
      <c r="D257" s="8">
        <v>0.99164345403899723</v>
      </c>
      <c r="E257" s="43">
        <v>2.6291891258495431E-3</v>
      </c>
    </row>
    <row r="258" spans="1:5" x14ac:dyDescent="0.35">
      <c r="A258" t="s">
        <v>93</v>
      </c>
      <c r="B258" s="9">
        <v>2022</v>
      </c>
      <c r="C258" s="6">
        <v>43</v>
      </c>
      <c r="D258" s="8">
        <v>0.94132439228834874</v>
      </c>
      <c r="E258" s="43">
        <v>7.6981151555432234E-3</v>
      </c>
    </row>
    <row r="259" spans="1:5" x14ac:dyDescent="0.35">
      <c r="A259" t="s">
        <v>103</v>
      </c>
      <c r="B259" s="9">
        <v>2022</v>
      </c>
      <c r="C259" s="6">
        <v>44</v>
      </c>
      <c r="D259" s="8">
        <v>0.81733547351524882</v>
      </c>
      <c r="E259" s="43">
        <v>1.8837915311022146E-2</v>
      </c>
    </row>
    <row r="260" spans="1:5" x14ac:dyDescent="0.35">
      <c r="A260" t="s">
        <v>98</v>
      </c>
      <c r="B260" s="9">
        <v>2022</v>
      </c>
      <c r="C260" s="6">
        <v>45</v>
      </c>
      <c r="D260" s="8">
        <v>0.96861206473761652</v>
      </c>
      <c r="E260" s="43">
        <v>2.4435842431360329E-2</v>
      </c>
    </row>
    <row r="261" spans="1:5" x14ac:dyDescent="0.35">
      <c r="A261" t="s">
        <v>95</v>
      </c>
      <c r="B261" s="9">
        <v>2022</v>
      </c>
      <c r="C261" s="6">
        <v>46</v>
      </c>
      <c r="D261" s="8">
        <v>0.84968684759916491</v>
      </c>
      <c r="E261" s="43">
        <v>4.6747213709913528E-3</v>
      </c>
    </row>
    <row r="262" spans="1:5" x14ac:dyDescent="0.35">
      <c r="A262" t="s">
        <v>94</v>
      </c>
      <c r="B262" s="9">
        <v>2022</v>
      </c>
      <c r="C262" s="6">
        <v>47</v>
      </c>
      <c r="D262" s="8">
        <v>0.91958041958041958</v>
      </c>
      <c r="E262" s="43">
        <v>5.538637320926269E-3</v>
      </c>
    </row>
    <row r="263" spans="1:5" x14ac:dyDescent="0.35">
      <c r="A263" t="s">
        <v>120</v>
      </c>
      <c r="B263" s="9">
        <v>2022</v>
      </c>
      <c r="C263" s="6">
        <v>48</v>
      </c>
      <c r="D263" s="8">
        <v>0.77052631578947373</v>
      </c>
      <c r="E263" s="43">
        <v>3.9604785925709757E-3</v>
      </c>
    </row>
    <row r="264" spans="1:5" x14ac:dyDescent="0.35">
      <c r="A264" t="s">
        <v>80</v>
      </c>
      <c r="B264" s="9">
        <v>2022</v>
      </c>
      <c r="C264" s="6">
        <v>49</v>
      </c>
      <c r="D264" s="8">
        <v>0.76419213973799127</v>
      </c>
      <c r="E264" s="43">
        <v>2.6532328889651E-3</v>
      </c>
    </row>
    <row r="265" spans="1:5" x14ac:dyDescent="0.35">
      <c r="A265" t="s">
        <v>105</v>
      </c>
      <c r="B265" s="9">
        <v>2022</v>
      </c>
      <c r="C265" s="6">
        <v>50</v>
      </c>
      <c r="D265" s="8">
        <v>0.79945945945945951</v>
      </c>
      <c r="E265" s="43">
        <v>7.9217417555007934E-3</v>
      </c>
    </row>
    <row r="266" spans="1:5" x14ac:dyDescent="0.35">
      <c r="A266" t="s">
        <v>106</v>
      </c>
      <c r="B266" s="9">
        <v>2022</v>
      </c>
      <c r="C266" s="6">
        <v>51</v>
      </c>
      <c r="D266" s="8">
        <v>0.75839852738150026</v>
      </c>
      <c r="E266" s="43">
        <v>7.1844092038464528E-3</v>
      </c>
    </row>
    <row r="267" spans="1:5" x14ac:dyDescent="0.35">
      <c r="A267" t="s">
        <v>100</v>
      </c>
      <c r="B267" s="9">
        <v>2022</v>
      </c>
      <c r="C267" s="6">
        <v>52</v>
      </c>
      <c r="D267" s="8">
        <v>0.79274084124830391</v>
      </c>
      <c r="E267" s="43">
        <v>9.6406818460532239E-3</v>
      </c>
    </row>
    <row r="268" spans="1:5" x14ac:dyDescent="0.35">
      <c r="A268" t="s">
        <v>108</v>
      </c>
      <c r="B268" s="9">
        <v>2022</v>
      </c>
      <c r="C268" s="6">
        <v>53</v>
      </c>
      <c r="D268" s="8">
        <v>0.8922800718132855</v>
      </c>
      <c r="E268" s="43">
        <v>1.6303007073417194E-2</v>
      </c>
    </row>
    <row r="269" spans="1:5" x14ac:dyDescent="0.35">
      <c r="A269" t="s">
        <v>102</v>
      </c>
      <c r="B269" s="9">
        <v>2022</v>
      </c>
      <c r="C269" s="6">
        <v>54</v>
      </c>
      <c r="D269" s="8">
        <v>0.46819526627218933</v>
      </c>
      <c r="E269" s="43">
        <v>1.4338704160822566E-2</v>
      </c>
    </row>
    <row r="270" spans="1:5" x14ac:dyDescent="0.35">
      <c r="A270" t="s">
        <v>109</v>
      </c>
      <c r="B270" s="9">
        <v>2022</v>
      </c>
      <c r="C270" s="6">
        <v>55</v>
      </c>
      <c r="D270" s="8">
        <v>0.91334538878842675</v>
      </c>
      <c r="E270" s="43">
        <v>1.5343210698629376E-2</v>
      </c>
    </row>
    <row r="271" spans="1:5" x14ac:dyDescent="0.35">
      <c r="A271" t="s">
        <v>101</v>
      </c>
      <c r="B271" s="9">
        <v>2022</v>
      </c>
      <c r="C271" s="6">
        <v>56</v>
      </c>
      <c r="D271" s="8">
        <v>0.85830527497194165</v>
      </c>
      <c r="E271" s="43">
        <v>3.0566640679876192E-3</v>
      </c>
    </row>
    <row r="272" spans="1:5" x14ac:dyDescent="0.35">
      <c r="A272" t="s">
        <v>111</v>
      </c>
      <c r="B272" s="9">
        <v>2022</v>
      </c>
      <c r="C272" s="6">
        <v>57</v>
      </c>
      <c r="D272" s="8">
        <v>0.78278562390999551</v>
      </c>
      <c r="E272" s="43">
        <v>6.7317303145863292E-3</v>
      </c>
    </row>
    <row r="273" spans="1:5" x14ac:dyDescent="0.35">
      <c r="A273" t="s">
        <v>110</v>
      </c>
      <c r="B273" s="9">
        <v>2022</v>
      </c>
      <c r="C273" s="6">
        <v>58</v>
      </c>
      <c r="D273" s="8">
        <v>0.8111384221690966</v>
      </c>
      <c r="E273" s="43">
        <v>6.5871041893175311E-3</v>
      </c>
    </row>
    <row r="274" spans="1:5" x14ac:dyDescent="0.35">
      <c r="A274" s="9" t="s">
        <v>127</v>
      </c>
      <c r="B274" s="9">
        <v>2021</v>
      </c>
      <c r="C274" s="6">
        <v>1</v>
      </c>
      <c r="D274" s="8">
        <v>0.97297297297297303</v>
      </c>
      <c r="E274" s="8">
        <v>1.5195071868583163E-2</v>
      </c>
    </row>
    <row r="275" spans="1:5" x14ac:dyDescent="0.35">
      <c r="A275" s="9" t="s">
        <v>62</v>
      </c>
      <c r="B275" s="9">
        <v>2021</v>
      </c>
      <c r="C275" s="6">
        <v>2</v>
      </c>
      <c r="D275" s="8">
        <v>0.84090909090909094</v>
      </c>
      <c r="E275" s="8">
        <v>2.6190476190476191E-2</v>
      </c>
    </row>
    <row r="276" spans="1:5" x14ac:dyDescent="0.35">
      <c r="A276" s="9" t="s">
        <v>128</v>
      </c>
      <c r="B276" s="9">
        <v>2021</v>
      </c>
      <c r="C276" s="6">
        <v>3</v>
      </c>
      <c r="D276" s="8">
        <v>0.99619771863117867</v>
      </c>
      <c r="E276" s="8">
        <v>6.2381404174573052E-2</v>
      </c>
    </row>
    <row r="277" spans="1:5" x14ac:dyDescent="0.35">
      <c r="A277" s="9" t="s">
        <v>71</v>
      </c>
      <c r="B277" s="9">
        <v>2021</v>
      </c>
      <c r="C277" s="6">
        <v>4</v>
      </c>
      <c r="D277" s="8">
        <v>0.44642857142857145</v>
      </c>
      <c r="E277" s="8">
        <v>2.4065320154705628E-2</v>
      </c>
    </row>
    <row r="278" spans="1:5" x14ac:dyDescent="0.35">
      <c r="A278" s="9" t="s">
        <v>64</v>
      </c>
      <c r="B278" s="9">
        <v>2021</v>
      </c>
      <c r="C278" s="6">
        <v>5</v>
      </c>
      <c r="D278" s="8">
        <v>0.97777777777777775</v>
      </c>
      <c r="E278" s="8">
        <v>8.7327770230933438E-3</v>
      </c>
    </row>
    <row r="279" spans="1:5" x14ac:dyDescent="0.35">
      <c r="A279" s="9" t="s">
        <v>67</v>
      </c>
      <c r="B279" s="9">
        <v>2021</v>
      </c>
      <c r="C279" s="6">
        <v>6</v>
      </c>
      <c r="D279" s="8">
        <v>0.93333333333333335</v>
      </c>
      <c r="E279" s="8">
        <v>7.8141279433215256E-3</v>
      </c>
    </row>
    <row r="280" spans="1:5" x14ac:dyDescent="0.35">
      <c r="A280" s="9" t="s">
        <v>88</v>
      </c>
      <c r="B280" s="9">
        <v>2021</v>
      </c>
      <c r="C280" s="6">
        <v>7</v>
      </c>
      <c r="D280" s="8">
        <v>0.79226069246435848</v>
      </c>
      <c r="E280" s="8">
        <v>4.4930453879941434E-2</v>
      </c>
    </row>
    <row r="281" spans="1:5" x14ac:dyDescent="0.35">
      <c r="A281" s="9" t="s">
        <v>124</v>
      </c>
      <c r="B281" s="9">
        <v>2021</v>
      </c>
      <c r="C281" s="6">
        <v>8</v>
      </c>
      <c r="D281" s="8">
        <v>0.88372093023255816</v>
      </c>
      <c r="E281" s="8">
        <v>7.6888690210102813E-3</v>
      </c>
    </row>
    <row r="282" spans="1:5" x14ac:dyDescent="0.35">
      <c r="A282" s="9" t="s">
        <v>75</v>
      </c>
      <c r="B282" s="9">
        <v>2021</v>
      </c>
      <c r="C282" s="6">
        <v>9</v>
      </c>
      <c r="D282" s="8">
        <v>0.96835443037974689</v>
      </c>
      <c r="E282" s="8">
        <v>1.1755952380952381E-2</v>
      </c>
    </row>
    <row r="283" spans="1:5" x14ac:dyDescent="0.35">
      <c r="A283" s="9" t="s">
        <v>129</v>
      </c>
      <c r="B283" s="9">
        <v>2021</v>
      </c>
      <c r="C283" s="6">
        <v>10</v>
      </c>
      <c r="D283" s="8">
        <v>1</v>
      </c>
      <c r="E283" s="8">
        <v>4.1568121550920947E-3</v>
      </c>
    </row>
    <row r="284" spans="1:5" x14ac:dyDescent="0.35">
      <c r="A284" s="9" t="s">
        <v>130</v>
      </c>
      <c r="B284" s="9">
        <v>2021</v>
      </c>
      <c r="C284" s="6">
        <v>11</v>
      </c>
      <c r="D284" s="8">
        <v>0.88295165394402031</v>
      </c>
      <c r="E284" s="8">
        <v>2.6575601839329187E-2</v>
      </c>
    </row>
    <row r="285" spans="1:5" x14ac:dyDescent="0.35">
      <c r="A285" s="9" t="s">
        <v>61</v>
      </c>
      <c r="B285" s="9">
        <v>2021</v>
      </c>
      <c r="C285" s="6">
        <v>12</v>
      </c>
      <c r="D285" s="8">
        <v>0.90909090909090906</v>
      </c>
      <c r="E285" s="8">
        <v>4.9911520486410458E-4</v>
      </c>
    </row>
    <row r="286" spans="1:5" x14ac:dyDescent="0.35">
      <c r="A286" s="9" t="s">
        <v>48</v>
      </c>
      <c r="B286" s="9">
        <v>2021</v>
      </c>
      <c r="C286" s="6">
        <v>13</v>
      </c>
      <c r="D286" s="8">
        <v>1</v>
      </c>
      <c r="E286" s="8">
        <v>1.0507420865986602E-3</v>
      </c>
    </row>
    <row r="287" spans="1:5" x14ac:dyDescent="0.35">
      <c r="A287" s="9" t="s">
        <v>86</v>
      </c>
      <c r="B287" s="9">
        <v>2021</v>
      </c>
      <c r="C287" s="6">
        <v>14</v>
      </c>
      <c r="D287" s="8">
        <v>0.9285714285714286</v>
      </c>
      <c r="E287" s="8">
        <v>1.6039279869067103E-2</v>
      </c>
    </row>
    <row r="288" spans="1:5" x14ac:dyDescent="0.35">
      <c r="A288" s="9" t="s">
        <v>51</v>
      </c>
      <c r="B288" s="9">
        <v>2021</v>
      </c>
      <c r="C288" s="6">
        <v>15</v>
      </c>
      <c r="D288" s="8">
        <v>1</v>
      </c>
      <c r="E288" s="8">
        <v>6.7694023015967822E-4</v>
      </c>
    </row>
    <row r="289" spans="1:5" x14ac:dyDescent="0.35">
      <c r="A289" s="9" t="s">
        <v>73</v>
      </c>
      <c r="B289" s="9">
        <v>2021</v>
      </c>
      <c r="C289" s="6">
        <v>16</v>
      </c>
      <c r="D289" s="8">
        <v>1</v>
      </c>
      <c r="E289" s="8">
        <v>8.4363205801820471E-3</v>
      </c>
    </row>
    <row r="290" spans="1:5" x14ac:dyDescent="0.35">
      <c r="A290" s="9" t="s">
        <v>123</v>
      </c>
      <c r="B290" s="9">
        <v>2021</v>
      </c>
      <c r="C290" s="6">
        <v>17</v>
      </c>
      <c r="D290" s="8">
        <v>0.96</v>
      </c>
      <c r="E290" s="8">
        <v>5.4128175519630485E-3</v>
      </c>
    </row>
    <row r="291" spans="1:5" x14ac:dyDescent="0.35">
      <c r="A291" s="9" t="s">
        <v>104</v>
      </c>
      <c r="B291" s="9">
        <v>2021</v>
      </c>
      <c r="C291" s="6">
        <v>18</v>
      </c>
      <c r="D291" s="8">
        <v>0.86792452830188682</v>
      </c>
      <c r="E291" s="8">
        <v>7.6088408119658113E-2</v>
      </c>
    </row>
    <row r="292" spans="1:5" x14ac:dyDescent="0.35">
      <c r="A292" s="9" t="s">
        <v>46</v>
      </c>
      <c r="B292" s="9">
        <v>2021</v>
      </c>
      <c r="C292" s="6">
        <v>19</v>
      </c>
      <c r="D292" s="8">
        <v>1</v>
      </c>
      <c r="E292" s="8">
        <v>1.6092175984036561E-4</v>
      </c>
    </row>
    <row r="293" spans="1:5" x14ac:dyDescent="0.35">
      <c r="A293" s="9" t="s">
        <v>66</v>
      </c>
      <c r="B293" s="9">
        <v>2021</v>
      </c>
      <c r="C293" s="6">
        <v>20</v>
      </c>
      <c r="D293" s="8">
        <v>0.94444444444444442</v>
      </c>
      <c r="E293" s="8">
        <v>5.6958420353142201E-4</v>
      </c>
    </row>
    <row r="294" spans="1:5" x14ac:dyDescent="0.35">
      <c r="A294" s="9" t="s">
        <v>78</v>
      </c>
      <c r="B294" s="9">
        <v>2021</v>
      </c>
      <c r="C294" s="6">
        <v>21</v>
      </c>
      <c r="D294" s="8">
        <v>0.76895943562610225</v>
      </c>
      <c r="E294" s="8">
        <v>1.5413891531874405E-2</v>
      </c>
    </row>
    <row r="295" spans="1:5" x14ac:dyDescent="0.35">
      <c r="A295" s="9" t="s">
        <v>50</v>
      </c>
      <c r="B295" s="9">
        <v>2021</v>
      </c>
      <c r="C295" s="6">
        <v>22</v>
      </c>
      <c r="D295" s="8">
        <v>1</v>
      </c>
      <c r="E295" s="8">
        <v>1.0264569273011881E-4</v>
      </c>
    </row>
    <row r="296" spans="1:5" x14ac:dyDescent="0.35">
      <c r="A296" s="9" t="s">
        <v>131</v>
      </c>
      <c r="B296" s="9">
        <v>2021</v>
      </c>
      <c r="C296" s="6">
        <v>23</v>
      </c>
      <c r="D296" s="8">
        <v>0.93841642228739008</v>
      </c>
      <c r="E296" s="8">
        <v>8.3093718017447239E-3</v>
      </c>
    </row>
    <row r="297" spans="1:5" x14ac:dyDescent="0.35">
      <c r="A297" s="9" t="s">
        <v>83</v>
      </c>
      <c r="B297" s="9">
        <v>2021</v>
      </c>
      <c r="C297" s="6">
        <v>24</v>
      </c>
      <c r="D297" s="8">
        <v>0.96113074204946991</v>
      </c>
      <c r="E297" s="8">
        <v>9.755593091799096E-3</v>
      </c>
    </row>
    <row r="298" spans="1:5" x14ac:dyDescent="0.35">
      <c r="A298" s="9" t="s">
        <v>58</v>
      </c>
      <c r="B298" s="9">
        <v>2021</v>
      </c>
      <c r="C298" s="6">
        <v>25</v>
      </c>
      <c r="D298" s="8">
        <v>0.98076923076923073</v>
      </c>
      <c r="E298" s="8">
        <v>8.9368576633554468E-4</v>
      </c>
    </row>
    <row r="299" spans="1:5" x14ac:dyDescent="0.35">
      <c r="A299" s="9" t="s">
        <v>132</v>
      </c>
      <c r="B299" s="9">
        <v>2021</v>
      </c>
      <c r="C299" s="6">
        <v>26</v>
      </c>
      <c r="D299" s="8">
        <v>0.81199278629395855</v>
      </c>
      <c r="E299" s="8">
        <v>3.6435318275154005E-2</v>
      </c>
    </row>
    <row r="300" spans="1:5" x14ac:dyDescent="0.35">
      <c r="A300" s="9" t="s">
        <v>81</v>
      </c>
      <c r="B300" s="9">
        <v>2021</v>
      </c>
      <c r="C300" s="6">
        <v>27</v>
      </c>
      <c r="D300" s="8">
        <v>0.98198198198198194</v>
      </c>
      <c r="E300" s="8">
        <v>1.6953035509736541E-3</v>
      </c>
    </row>
    <row r="301" spans="1:5" x14ac:dyDescent="0.35">
      <c r="A301" s="9" t="s">
        <v>55</v>
      </c>
      <c r="B301" s="9">
        <v>2021</v>
      </c>
      <c r="C301" s="6">
        <v>28</v>
      </c>
      <c r="D301" s="8">
        <v>0.9821428571428571</v>
      </c>
      <c r="E301" s="8">
        <v>3.3951740026676369E-3</v>
      </c>
    </row>
    <row r="302" spans="1:5" x14ac:dyDescent="0.35">
      <c r="A302" s="9" t="s">
        <v>117</v>
      </c>
      <c r="B302" s="9">
        <v>2021</v>
      </c>
      <c r="C302" s="6">
        <v>29</v>
      </c>
      <c r="D302" s="8">
        <v>0.99222340049487456</v>
      </c>
      <c r="E302" s="8">
        <v>3.9508414216884294E-2</v>
      </c>
    </row>
    <row r="303" spans="1:5" x14ac:dyDescent="0.35">
      <c r="A303" s="9" t="s">
        <v>133</v>
      </c>
      <c r="B303" s="9">
        <v>2021</v>
      </c>
      <c r="C303" s="6">
        <v>30</v>
      </c>
      <c r="D303" s="8">
        <v>0.97080291970802923</v>
      </c>
      <c r="E303" s="8">
        <v>3.7641499065831411E-3</v>
      </c>
    </row>
    <row r="304" spans="1:5" x14ac:dyDescent="0.35">
      <c r="A304" s="9" t="s">
        <v>134</v>
      </c>
      <c r="B304" s="9">
        <v>2021</v>
      </c>
      <c r="C304" s="6">
        <v>31</v>
      </c>
      <c r="D304" s="8">
        <v>0.91379310344827591</v>
      </c>
      <c r="E304" s="8">
        <v>2.9891514417501996E-3</v>
      </c>
    </row>
    <row r="305" spans="1:5" x14ac:dyDescent="0.35">
      <c r="A305" s="9" t="s">
        <v>74</v>
      </c>
      <c r="B305" s="9">
        <v>2021</v>
      </c>
      <c r="C305" s="6">
        <v>32</v>
      </c>
      <c r="D305" s="8">
        <v>0.96875</v>
      </c>
      <c r="E305" s="8">
        <v>3.1219512195121953E-3</v>
      </c>
    </row>
    <row r="306" spans="1:5" x14ac:dyDescent="0.35">
      <c r="A306" s="9" t="s">
        <v>96</v>
      </c>
      <c r="B306" s="9">
        <v>2021</v>
      </c>
      <c r="C306" s="6">
        <v>33</v>
      </c>
      <c r="D306" s="8">
        <v>0.96494992846924177</v>
      </c>
      <c r="E306" s="8">
        <v>1.5877883403182393E-2</v>
      </c>
    </row>
    <row r="307" spans="1:5" x14ac:dyDescent="0.35">
      <c r="A307" s="9" t="s">
        <v>63</v>
      </c>
      <c r="B307" s="9">
        <v>2021</v>
      </c>
      <c r="C307" s="6">
        <v>34</v>
      </c>
      <c r="D307" s="8">
        <v>1</v>
      </c>
      <c r="E307" s="8">
        <v>1.9302071973827698E-3</v>
      </c>
    </row>
    <row r="308" spans="1:5" x14ac:dyDescent="0.35">
      <c r="A308" s="9" t="s">
        <v>56</v>
      </c>
      <c r="B308" s="9">
        <v>2021</v>
      </c>
      <c r="C308" s="6">
        <v>35</v>
      </c>
      <c r="D308" s="8">
        <v>0.96666666666666667</v>
      </c>
      <c r="E308" s="8">
        <v>3.2243156390056213E-4</v>
      </c>
    </row>
    <row r="309" spans="1:5" x14ac:dyDescent="0.35">
      <c r="A309" s="9" t="s">
        <v>114</v>
      </c>
      <c r="B309" s="9">
        <v>2021</v>
      </c>
      <c r="C309" s="6">
        <v>36</v>
      </c>
      <c r="D309" s="8">
        <v>0.6</v>
      </c>
      <c r="E309" s="8">
        <v>4.7695815169177056E-5</v>
      </c>
    </row>
    <row r="310" spans="1:5" x14ac:dyDescent="0.35">
      <c r="A310" s="9" t="s">
        <v>93</v>
      </c>
      <c r="B310" s="9">
        <v>2021</v>
      </c>
      <c r="C310" s="6">
        <v>37</v>
      </c>
      <c r="D310" s="8">
        <v>0.99668874172185429</v>
      </c>
      <c r="E310" s="8">
        <v>5.6076501717574967E-3</v>
      </c>
    </row>
    <row r="311" spans="1:5" x14ac:dyDescent="0.35">
      <c r="A311" s="9" t="s">
        <v>87</v>
      </c>
      <c r="B311" s="9">
        <v>2021</v>
      </c>
      <c r="C311" s="6">
        <v>38</v>
      </c>
      <c r="D311" s="8">
        <v>0.90211433046202039</v>
      </c>
      <c r="E311" s="8">
        <v>1.1387957480202611E-2</v>
      </c>
    </row>
    <row r="312" spans="1:5" x14ac:dyDescent="0.35">
      <c r="A312" s="9" t="s">
        <v>92</v>
      </c>
      <c r="B312" s="9">
        <v>2021</v>
      </c>
      <c r="C312" s="6">
        <v>39</v>
      </c>
      <c r="D312" s="8">
        <v>0.99009900990099009</v>
      </c>
      <c r="E312" s="8">
        <v>1.5536071373634826E-3</v>
      </c>
    </row>
    <row r="313" spans="1:5" x14ac:dyDescent="0.35">
      <c r="A313" s="9" t="s">
        <v>97</v>
      </c>
      <c r="B313" s="9">
        <v>2021</v>
      </c>
      <c r="C313" s="6">
        <v>40</v>
      </c>
      <c r="D313" s="8">
        <v>0.95690607734806632</v>
      </c>
      <c r="E313" s="8">
        <v>6.9594506263505563E-3</v>
      </c>
    </row>
    <row r="314" spans="1:5" x14ac:dyDescent="0.35">
      <c r="A314" s="9" t="s">
        <v>120</v>
      </c>
      <c r="B314" s="9">
        <v>2021</v>
      </c>
      <c r="C314" s="6">
        <v>41</v>
      </c>
      <c r="D314" s="8">
        <v>0.97715736040609136</v>
      </c>
      <c r="E314" s="8">
        <v>2.9973601929265343E-3</v>
      </c>
    </row>
    <row r="315" spans="1:5" x14ac:dyDescent="0.35">
      <c r="A315" s="9" t="s">
        <v>79</v>
      </c>
      <c r="B315" s="9">
        <v>2021</v>
      </c>
      <c r="C315" s="6">
        <v>42</v>
      </c>
      <c r="D315" s="8">
        <v>0.89403973509933776</v>
      </c>
      <c r="E315" s="8">
        <v>2.2794001101961643E-3</v>
      </c>
    </row>
    <row r="316" spans="1:5" x14ac:dyDescent="0.35">
      <c r="A316" s="9" t="s">
        <v>60</v>
      </c>
      <c r="B316" s="9">
        <v>2021</v>
      </c>
      <c r="C316" s="6">
        <v>43</v>
      </c>
      <c r="D316" s="8">
        <v>0.96969696969696972</v>
      </c>
      <c r="E316" s="8">
        <v>7.2261718807024714E-4</v>
      </c>
    </row>
    <row r="317" spans="1:5" x14ac:dyDescent="0.35">
      <c r="A317" s="9" t="s">
        <v>72</v>
      </c>
      <c r="B317" s="9">
        <v>2021</v>
      </c>
      <c r="C317" s="6">
        <v>44</v>
      </c>
      <c r="D317" s="8">
        <v>0.98648648648648651</v>
      </c>
      <c r="E317" s="8">
        <v>1.589210548921914E-3</v>
      </c>
    </row>
    <row r="318" spans="1:5" x14ac:dyDescent="0.35">
      <c r="A318" s="9" t="s">
        <v>125</v>
      </c>
      <c r="B318" s="9">
        <v>2021</v>
      </c>
      <c r="C318" s="6">
        <v>45</v>
      </c>
      <c r="D318" s="8">
        <v>0.96763754045307449</v>
      </c>
      <c r="E318" s="8">
        <v>1.3205786613292686E-2</v>
      </c>
    </row>
    <row r="319" spans="1:5" x14ac:dyDescent="0.35">
      <c r="A319" s="9" t="s">
        <v>103</v>
      </c>
      <c r="B319" s="9">
        <v>2021</v>
      </c>
      <c r="C319" s="6">
        <v>46</v>
      </c>
      <c r="D319" s="8">
        <v>0.87436505248899421</v>
      </c>
      <c r="E319" s="8">
        <v>2.0107311625880076E-2</v>
      </c>
    </row>
    <row r="320" spans="1:5" x14ac:dyDescent="0.35">
      <c r="A320" s="9" t="s">
        <v>95</v>
      </c>
      <c r="B320" s="9">
        <v>2021</v>
      </c>
      <c r="C320" s="6">
        <v>47</v>
      </c>
      <c r="D320" s="8">
        <v>0.9238683127572016</v>
      </c>
      <c r="E320" s="8">
        <v>2.3579184334882636E-3</v>
      </c>
    </row>
    <row r="321" spans="1:5" x14ac:dyDescent="0.35">
      <c r="A321" s="9" t="s">
        <v>94</v>
      </c>
      <c r="B321" s="9">
        <v>2021</v>
      </c>
      <c r="C321" s="6">
        <v>48</v>
      </c>
      <c r="D321" s="8">
        <v>0.9584139264990329</v>
      </c>
      <c r="E321" s="8">
        <v>4.7565598204099661E-3</v>
      </c>
    </row>
    <row r="322" spans="1:5" x14ac:dyDescent="0.35">
      <c r="A322" s="9" t="s">
        <v>100</v>
      </c>
      <c r="B322" s="9">
        <v>2021</v>
      </c>
      <c r="C322" s="6">
        <v>49</v>
      </c>
      <c r="D322" s="8">
        <v>0.96713865882981565</v>
      </c>
      <c r="E322" s="8">
        <v>1.5183044315992293E-2</v>
      </c>
    </row>
    <row r="323" spans="1:5" x14ac:dyDescent="0.35">
      <c r="A323" s="9" t="s">
        <v>98</v>
      </c>
      <c r="B323" s="9">
        <v>2021</v>
      </c>
      <c r="C323" s="6">
        <v>50</v>
      </c>
      <c r="D323" s="8">
        <v>0.98929336188436834</v>
      </c>
      <c r="E323" s="8">
        <v>1.0611827529398397E-2</v>
      </c>
    </row>
    <row r="324" spans="1:5" x14ac:dyDescent="0.35">
      <c r="A324" s="9" t="s">
        <v>135</v>
      </c>
      <c r="B324" s="9">
        <v>2021</v>
      </c>
      <c r="C324" s="6">
        <v>51</v>
      </c>
      <c r="D324" s="8">
        <v>0.90608465608465605</v>
      </c>
      <c r="E324" s="8">
        <v>2.8059132022669997E-3</v>
      </c>
    </row>
    <row r="325" spans="1:5" x14ac:dyDescent="0.35">
      <c r="A325" s="9" t="s">
        <v>80</v>
      </c>
      <c r="B325" s="9">
        <v>2021</v>
      </c>
      <c r="C325" s="6">
        <v>52</v>
      </c>
      <c r="D325" s="8">
        <v>0.94480519480519476</v>
      </c>
      <c r="E325" s="8">
        <v>6.8492389116826227E-4</v>
      </c>
    </row>
    <row r="326" spans="1:5" x14ac:dyDescent="0.35">
      <c r="A326" s="9" t="s">
        <v>105</v>
      </c>
      <c r="B326" s="9">
        <v>2021</v>
      </c>
      <c r="C326" s="6">
        <v>53</v>
      </c>
      <c r="D326" s="8">
        <v>0.87023255813953493</v>
      </c>
      <c r="E326" s="8">
        <v>8.9289978549640034E-3</v>
      </c>
    </row>
    <row r="327" spans="1:5" x14ac:dyDescent="0.35">
      <c r="A327" s="9" t="s">
        <v>106</v>
      </c>
      <c r="B327" s="9">
        <v>2021</v>
      </c>
      <c r="C327" s="6">
        <v>54</v>
      </c>
      <c r="D327" s="8">
        <v>0.91127541589648797</v>
      </c>
      <c r="E327" s="8">
        <v>6.3387648865566963E-3</v>
      </c>
    </row>
    <row r="328" spans="1:5" x14ac:dyDescent="0.35">
      <c r="A328" s="9" t="s">
        <v>108</v>
      </c>
      <c r="B328" s="9">
        <v>2021</v>
      </c>
      <c r="C328" s="6">
        <v>55</v>
      </c>
      <c r="D328" s="8">
        <v>0.78226395409493998</v>
      </c>
      <c r="E328" s="8">
        <v>1.3917424731924409E-2</v>
      </c>
    </row>
    <row r="329" spans="1:5" x14ac:dyDescent="0.35">
      <c r="A329" s="9" t="s">
        <v>102</v>
      </c>
      <c r="B329" s="9">
        <v>2021</v>
      </c>
      <c r="C329" s="6">
        <v>56</v>
      </c>
      <c r="D329" s="8">
        <v>0.68963948595473668</v>
      </c>
      <c r="E329" s="8">
        <v>1.2417176458626358E-2</v>
      </c>
    </row>
    <row r="330" spans="1:5" x14ac:dyDescent="0.35">
      <c r="A330" s="9" t="s">
        <v>109</v>
      </c>
      <c r="B330" s="9">
        <v>2021</v>
      </c>
      <c r="C330" s="6">
        <v>57</v>
      </c>
      <c r="D330" s="8">
        <v>0.96807942777837086</v>
      </c>
      <c r="E330" s="8">
        <v>1.0657943393542882E-2</v>
      </c>
    </row>
    <row r="331" spans="1:5" x14ac:dyDescent="0.35">
      <c r="A331" s="9" t="s">
        <v>101</v>
      </c>
      <c r="B331" s="9">
        <v>2021</v>
      </c>
      <c r="C331" s="6">
        <v>58</v>
      </c>
      <c r="D331" s="8">
        <v>0.95623800383877156</v>
      </c>
      <c r="E331" s="8">
        <v>2.2774701808774686E-3</v>
      </c>
    </row>
    <row r="332" spans="1:5" x14ac:dyDescent="0.35">
      <c r="A332" s="9" t="s">
        <v>110</v>
      </c>
      <c r="B332" s="9">
        <v>2021</v>
      </c>
      <c r="C332" s="6">
        <v>59</v>
      </c>
      <c r="D332" s="8">
        <v>0.8616754716981132</v>
      </c>
      <c r="E332" s="8">
        <v>8.0052103346359166E-3</v>
      </c>
    </row>
    <row r="333" spans="1:5" x14ac:dyDescent="0.35">
      <c r="A333" s="9" t="s">
        <v>111</v>
      </c>
      <c r="B333" s="9">
        <v>2021</v>
      </c>
      <c r="C333" s="6">
        <v>60</v>
      </c>
      <c r="D333" s="8">
        <v>0.82609426665919405</v>
      </c>
      <c r="E333" s="8">
        <v>8.0244524760425592E-3</v>
      </c>
    </row>
    <row r="334" spans="1:5" x14ac:dyDescent="0.35">
      <c r="A334" t="s">
        <v>62</v>
      </c>
      <c r="B334">
        <v>2020</v>
      </c>
      <c r="C334" s="44">
        <v>1</v>
      </c>
      <c r="D334" s="14">
        <v>0.88319088319088324</v>
      </c>
      <c r="E334" s="14">
        <v>9.3202336696760493E-2</v>
      </c>
    </row>
    <row r="335" spans="1:5" x14ac:dyDescent="0.35">
      <c r="A335" t="s">
        <v>88</v>
      </c>
      <c r="B335">
        <v>2020</v>
      </c>
      <c r="C335" s="44">
        <v>2</v>
      </c>
      <c r="D335" s="13">
        <v>0.93421052631578949</v>
      </c>
      <c r="E335" s="13">
        <v>1.4415781487101669E-2</v>
      </c>
    </row>
    <row r="336" spans="1:5" x14ac:dyDescent="0.35">
      <c r="A336" t="s">
        <v>99</v>
      </c>
      <c r="B336">
        <v>2020</v>
      </c>
      <c r="C336" s="44">
        <v>3</v>
      </c>
      <c r="D336" s="13">
        <v>0.90825688073394495</v>
      </c>
      <c r="E336" s="13">
        <v>9.3997930320800279E-3</v>
      </c>
    </row>
    <row r="337" spans="1:5" x14ac:dyDescent="0.35">
      <c r="A337" t="s">
        <v>75</v>
      </c>
      <c r="B337">
        <v>2020</v>
      </c>
      <c r="C337" s="44">
        <v>4</v>
      </c>
      <c r="D337" s="13">
        <v>0.96995708154506433</v>
      </c>
      <c r="E337" s="13">
        <v>1.848032994923858E-2</v>
      </c>
    </row>
    <row r="338" spans="1:5" x14ac:dyDescent="0.35">
      <c r="A338" t="s">
        <v>86</v>
      </c>
      <c r="B338">
        <v>2020</v>
      </c>
      <c r="C338" s="44">
        <v>5</v>
      </c>
      <c r="D338" s="13">
        <v>0.94990366088631983</v>
      </c>
      <c r="E338" s="13">
        <v>2.8072263089571614E-2</v>
      </c>
    </row>
    <row r="339" spans="1:5" x14ac:dyDescent="0.35">
      <c r="A339" t="s">
        <v>48</v>
      </c>
      <c r="B339">
        <v>2020</v>
      </c>
      <c r="C339" s="44">
        <v>6</v>
      </c>
      <c r="D339" s="13">
        <v>0.97727272727272729</v>
      </c>
      <c r="E339" s="13">
        <v>1.8222479913857367E-3</v>
      </c>
    </row>
    <row r="340" spans="1:5" x14ac:dyDescent="0.35">
      <c r="A340" t="s">
        <v>61</v>
      </c>
      <c r="B340">
        <v>2020</v>
      </c>
      <c r="C340" s="44">
        <v>7</v>
      </c>
      <c r="D340" s="13">
        <v>1</v>
      </c>
      <c r="E340" s="13">
        <v>9.3268450932684505E-4</v>
      </c>
    </row>
    <row r="341" spans="1:5" x14ac:dyDescent="0.35">
      <c r="A341" t="s">
        <v>130</v>
      </c>
      <c r="B341">
        <v>2020</v>
      </c>
      <c r="C341" s="44">
        <v>8</v>
      </c>
      <c r="D341" s="13">
        <v>1</v>
      </c>
      <c r="E341" s="13">
        <v>2.3200987913033718E-3</v>
      </c>
    </row>
    <row r="342" spans="1:5" x14ac:dyDescent="0.35">
      <c r="A342" t="s">
        <v>46</v>
      </c>
      <c r="B342">
        <v>2020</v>
      </c>
      <c r="C342" s="44">
        <v>9</v>
      </c>
      <c r="D342" s="13">
        <v>1</v>
      </c>
      <c r="E342" s="13">
        <v>1.8262838775659289E-4</v>
      </c>
    </row>
    <row r="343" spans="1:5" x14ac:dyDescent="0.35">
      <c r="A343" t="s">
        <v>136</v>
      </c>
      <c r="B343">
        <v>2020</v>
      </c>
      <c r="C343" s="44">
        <v>10</v>
      </c>
      <c r="D343" s="13">
        <v>1</v>
      </c>
      <c r="E343" s="13">
        <v>6.7140181631859786E-4</v>
      </c>
    </row>
    <row r="344" spans="1:5" x14ac:dyDescent="0.35">
      <c r="A344" t="s">
        <v>66</v>
      </c>
      <c r="B344">
        <v>2020</v>
      </c>
      <c r="C344" s="44">
        <v>11</v>
      </c>
      <c r="D344" s="13">
        <v>0.95454545454545459</v>
      </c>
      <c r="E344" s="13">
        <v>1.4468448916510473E-3</v>
      </c>
    </row>
    <row r="345" spans="1:5" x14ac:dyDescent="0.35">
      <c r="A345" t="s">
        <v>78</v>
      </c>
      <c r="B345">
        <v>2020</v>
      </c>
      <c r="C345" s="44">
        <v>12</v>
      </c>
      <c r="D345" s="13">
        <v>0.84615384615384615</v>
      </c>
      <c r="E345" s="13">
        <v>1.2975801882974992E-2</v>
      </c>
    </row>
    <row r="346" spans="1:5" x14ac:dyDescent="0.35">
      <c r="A346" t="s">
        <v>50</v>
      </c>
      <c r="B346">
        <v>2020</v>
      </c>
      <c r="C346" s="44">
        <v>13</v>
      </c>
      <c r="D346" s="13">
        <v>1</v>
      </c>
      <c r="E346" s="13">
        <v>7.2098053352559485E-5</v>
      </c>
    </row>
    <row r="347" spans="1:5" x14ac:dyDescent="0.35">
      <c r="A347" t="s">
        <v>96</v>
      </c>
      <c r="B347">
        <v>2020</v>
      </c>
      <c r="C347" s="44">
        <v>14</v>
      </c>
      <c r="D347" s="13">
        <v>0.96611858495266567</v>
      </c>
      <c r="E347" s="13">
        <v>4.6496003706706826E-2</v>
      </c>
    </row>
    <row r="348" spans="1:5" x14ac:dyDescent="0.35">
      <c r="A348" t="s">
        <v>133</v>
      </c>
      <c r="B348">
        <v>2020</v>
      </c>
      <c r="C348" s="44">
        <v>15</v>
      </c>
      <c r="D348" s="13">
        <v>1</v>
      </c>
      <c r="E348" s="13">
        <v>5.4656521273175433E-3</v>
      </c>
    </row>
    <row r="349" spans="1:5" x14ac:dyDescent="0.35">
      <c r="A349" t="s">
        <v>137</v>
      </c>
      <c r="B349">
        <v>2020</v>
      </c>
      <c r="C349" s="44">
        <v>16</v>
      </c>
      <c r="D349" s="13">
        <v>1</v>
      </c>
      <c r="E349" s="13">
        <v>2.904892353514368E-3</v>
      </c>
    </row>
    <row r="350" spans="1:5" x14ac:dyDescent="0.35">
      <c r="A350" t="s">
        <v>83</v>
      </c>
      <c r="B350">
        <v>2020</v>
      </c>
      <c r="C350" s="44">
        <v>17</v>
      </c>
      <c r="D350" s="13">
        <v>0.84593837535014005</v>
      </c>
      <c r="E350" s="13">
        <v>6.3351788756388413E-3</v>
      </c>
    </row>
    <row r="351" spans="1:5" x14ac:dyDescent="0.35">
      <c r="A351" t="s">
        <v>81</v>
      </c>
      <c r="B351">
        <v>2020</v>
      </c>
      <c r="C351" s="44">
        <v>18</v>
      </c>
      <c r="D351" s="13">
        <v>0.99193548387096775</v>
      </c>
      <c r="E351" s="13">
        <v>2.0973225309947061E-3</v>
      </c>
    </row>
    <row r="352" spans="1:5" x14ac:dyDescent="0.35">
      <c r="A352" s="6" t="s">
        <v>58</v>
      </c>
      <c r="B352">
        <v>2020</v>
      </c>
      <c r="C352" s="44">
        <v>19</v>
      </c>
      <c r="D352" s="12">
        <v>1</v>
      </c>
      <c r="E352" s="12">
        <v>1.0649457990272435E-3</v>
      </c>
    </row>
    <row r="353" spans="1:5" x14ac:dyDescent="0.35">
      <c r="A353" s="6" t="s">
        <v>114</v>
      </c>
      <c r="B353">
        <v>2020</v>
      </c>
      <c r="C353" s="44">
        <v>20</v>
      </c>
      <c r="D353" s="12">
        <v>1</v>
      </c>
      <c r="E353" s="12">
        <v>4.7048491311711937E-5</v>
      </c>
    </row>
    <row r="354" spans="1:5" x14ac:dyDescent="0.35">
      <c r="A354" s="6" t="s">
        <v>138</v>
      </c>
      <c r="B354">
        <v>2020</v>
      </c>
      <c r="C354" s="44">
        <v>21</v>
      </c>
      <c r="D354" s="12">
        <v>1</v>
      </c>
      <c r="E354" s="12">
        <v>4.5165295669719078E-3</v>
      </c>
    </row>
    <row r="355" spans="1:5" x14ac:dyDescent="0.35">
      <c r="A355" t="s">
        <v>55</v>
      </c>
      <c r="B355">
        <v>2020</v>
      </c>
      <c r="C355" s="44">
        <v>22</v>
      </c>
      <c r="D355" s="12">
        <v>0.93548387096774188</v>
      </c>
      <c r="E355" s="12">
        <v>2.7297943848423032E-3</v>
      </c>
    </row>
    <row r="356" spans="1:5" x14ac:dyDescent="0.35">
      <c r="A356" t="s">
        <v>74</v>
      </c>
      <c r="B356">
        <v>2020</v>
      </c>
      <c r="C356" s="44">
        <v>23</v>
      </c>
      <c r="D356" s="12">
        <v>0.95408163265306123</v>
      </c>
      <c r="E356" s="12">
        <v>5.3748697416771789E-3</v>
      </c>
    </row>
    <row r="357" spans="1:5" x14ac:dyDescent="0.35">
      <c r="A357" t="s">
        <v>132</v>
      </c>
      <c r="B357">
        <v>2020</v>
      </c>
      <c r="C357" s="44">
        <v>24</v>
      </c>
      <c r="D357" s="12">
        <v>0.86609169314571044</v>
      </c>
      <c r="E357" s="12">
        <v>2.7041292286541955E-2</v>
      </c>
    </row>
    <row r="358" spans="1:5" x14ac:dyDescent="0.35">
      <c r="A358" s="2" t="s">
        <v>134</v>
      </c>
      <c r="B358">
        <v>2020</v>
      </c>
      <c r="C358" s="44">
        <v>25</v>
      </c>
      <c r="D358" s="8">
        <v>0.98136645962732916</v>
      </c>
      <c r="E358" s="8">
        <v>1.9718068364135161E-3</v>
      </c>
    </row>
    <row r="359" spans="1:5" x14ac:dyDescent="0.35">
      <c r="A359" s="2" t="s">
        <v>139</v>
      </c>
      <c r="B359">
        <v>2020</v>
      </c>
      <c r="C359" s="44">
        <v>26</v>
      </c>
      <c r="D359" s="8">
        <v>0.95222929936305734</v>
      </c>
      <c r="E359" s="8">
        <v>1.4738843188565661E-2</v>
      </c>
    </row>
    <row r="360" spans="1:5" x14ac:dyDescent="0.35">
      <c r="A360" s="3" t="s">
        <v>56</v>
      </c>
      <c r="B360">
        <v>2020</v>
      </c>
      <c r="C360" s="44">
        <v>27</v>
      </c>
      <c r="D360" s="8">
        <v>0.92307692307692313</v>
      </c>
      <c r="E360" s="8">
        <v>4.2335164238726906E-4</v>
      </c>
    </row>
    <row r="361" spans="1:5" x14ac:dyDescent="0.35">
      <c r="A361" t="s">
        <v>79</v>
      </c>
      <c r="B361">
        <v>2020</v>
      </c>
      <c r="C361" s="44">
        <v>28</v>
      </c>
      <c r="D361" s="8">
        <v>0.92332268370607029</v>
      </c>
      <c r="E361" s="8">
        <v>3.3201094681460422E-3</v>
      </c>
    </row>
    <row r="362" spans="1:5" x14ac:dyDescent="0.35">
      <c r="A362" t="s">
        <v>63</v>
      </c>
      <c r="B362">
        <v>2020</v>
      </c>
      <c r="C362" s="44">
        <v>29</v>
      </c>
      <c r="D362" s="8">
        <v>1</v>
      </c>
      <c r="E362" s="8">
        <v>1.9616559081597155E-3</v>
      </c>
    </row>
    <row r="363" spans="1:5" x14ac:dyDescent="0.35">
      <c r="A363" t="s">
        <v>140</v>
      </c>
      <c r="B363">
        <v>2020</v>
      </c>
      <c r="C363" s="44">
        <v>30</v>
      </c>
      <c r="D363" s="8">
        <v>0.98123324396782841</v>
      </c>
      <c r="E363" s="8">
        <v>3.5163799198680177E-3</v>
      </c>
    </row>
    <row r="364" spans="1:5" x14ac:dyDescent="0.35">
      <c r="A364" t="s">
        <v>93</v>
      </c>
      <c r="B364">
        <v>2020</v>
      </c>
      <c r="C364" s="44">
        <v>31</v>
      </c>
      <c r="D364" s="8">
        <v>1</v>
      </c>
      <c r="E364" s="8">
        <v>3.1994776363042767E-3</v>
      </c>
    </row>
    <row r="365" spans="1:5" x14ac:dyDescent="0.35">
      <c r="A365" t="s">
        <v>87</v>
      </c>
      <c r="B365">
        <v>2020</v>
      </c>
      <c r="C365" s="44">
        <v>32</v>
      </c>
      <c r="D365" s="8">
        <v>0.93052899936265132</v>
      </c>
      <c r="E365" s="8">
        <v>1.3610221979337445E-2</v>
      </c>
    </row>
    <row r="366" spans="1:5" x14ac:dyDescent="0.35">
      <c r="A366" t="s">
        <v>117</v>
      </c>
      <c r="B366">
        <v>2020</v>
      </c>
      <c r="C366" s="44">
        <v>33</v>
      </c>
      <c r="D366" s="8">
        <v>0.91488967179677361</v>
      </c>
      <c r="E366" s="8">
        <v>4.2600418657924875E-2</v>
      </c>
    </row>
    <row r="367" spans="1:5" x14ac:dyDescent="0.35">
      <c r="A367" t="s">
        <v>141</v>
      </c>
      <c r="B367">
        <v>2020</v>
      </c>
      <c r="C367" s="44">
        <v>34</v>
      </c>
      <c r="D367" s="8">
        <v>0.94854586129753915</v>
      </c>
      <c r="E367" s="8">
        <v>3.4551792905674378E-3</v>
      </c>
    </row>
    <row r="368" spans="1:5" x14ac:dyDescent="0.35">
      <c r="A368" t="s">
        <v>97</v>
      </c>
      <c r="B368">
        <v>2020</v>
      </c>
      <c r="C368" s="44">
        <v>35</v>
      </c>
      <c r="D368" s="8">
        <v>0.86764705882352944</v>
      </c>
      <c r="E368" s="8">
        <v>4.6186239217550773E-3</v>
      </c>
    </row>
    <row r="369" spans="1:5" x14ac:dyDescent="0.35">
      <c r="A369" t="s">
        <v>92</v>
      </c>
      <c r="B369">
        <v>2020</v>
      </c>
      <c r="C369" s="44">
        <v>36</v>
      </c>
      <c r="D369" s="8">
        <v>0.99059561128526641</v>
      </c>
      <c r="E369" s="8">
        <v>2.3286541255137273E-3</v>
      </c>
    </row>
    <row r="370" spans="1:5" x14ac:dyDescent="0.35">
      <c r="A370" t="s">
        <v>60</v>
      </c>
      <c r="B370">
        <v>2020</v>
      </c>
      <c r="C370" s="44">
        <v>37</v>
      </c>
      <c r="D370" s="8">
        <v>1</v>
      </c>
      <c r="E370" s="8">
        <v>1.693266815468902E-3</v>
      </c>
    </row>
    <row r="371" spans="1:5" x14ac:dyDescent="0.35">
      <c r="A371" t="s">
        <v>125</v>
      </c>
      <c r="B371">
        <v>2020</v>
      </c>
      <c r="C371" s="44">
        <v>38</v>
      </c>
      <c r="D371" s="8">
        <v>0.96821392532795159</v>
      </c>
      <c r="E371" s="8">
        <v>1.3570323305078943E-2</v>
      </c>
    </row>
    <row r="372" spans="1:5" x14ac:dyDescent="0.35">
      <c r="A372" t="s">
        <v>103</v>
      </c>
      <c r="B372">
        <v>2020</v>
      </c>
      <c r="C372" s="44">
        <v>39</v>
      </c>
      <c r="D372" s="8">
        <v>0.89147029538665779</v>
      </c>
      <c r="E372" s="8">
        <v>2.0569361004915347E-2</v>
      </c>
    </row>
    <row r="373" spans="1:5" x14ac:dyDescent="0.35">
      <c r="A373" t="s">
        <v>72</v>
      </c>
      <c r="B373">
        <v>2020</v>
      </c>
      <c r="C373" s="44">
        <v>40</v>
      </c>
      <c r="D373" s="8">
        <v>0.99526066350710896</v>
      </c>
      <c r="E373" s="8">
        <v>1.3988332007425087E-3</v>
      </c>
    </row>
    <row r="374" spans="1:5" x14ac:dyDescent="0.35">
      <c r="A374" t="s">
        <v>100</v>
      </c>
      <c r="B374">
        <v>2020</v>
      </c>
      <c r="C374" s="44">
        <v>41</v>
      </c>
      <c r="D374" s="8">
        <v>0.98224195338512765</v>
      </c>
      <c r="E374" s="8">
        <v>1.0892561383996035E-2</v>
      </c>
    </row>
    <row r="375" spans="1:5" x14ac:dyDescent="0.35">
      <c r="A375" t="s">
        <v>98</v>
      </c>
      <c r="B375">
        <v>2020</v>
      </c>
      <c r="C375" s="44">
        <v>42</v>
      </c>
      <c r="D375" s="8">
        <v>0.97859436318230464</v>
      </c>
      <c r="E375" s="8">
        <v>1.54887550422722E-2</v>
      </c>
    </row>
    <row r="376" spans="1:5" x14ac:dyDescent="0.35">
      <c r="A376" t="s">
        <v>95</v>
      </c>
      <c r="B376">
        <v>2020</v>
      </c>
      <c r="C376" s="44">
        <v>43</v>
      </c>
      <c r="D376" s="8">
        <v>0.9575289575289575</v>
      </c>
      <c r="E376" s="8">
        <v>1.3062665489849956E-3</v>
      </c>
    </row>
    <row r="377" spans="1:5" x14ac:dyDescent="0.35">
      <c r="A377" t="s">
        <v>94</v>
      </c>
      <c r="B377">
        <v>2020</v>
      </c>
      <c r="C377" s="44">
        <v>44</v>
      </c>
      <c r="D377" s="8">
        <v>0.94072657743785848</v>
      </c>
      <c r="E377" s="8">
        <v>4.4709261570551728E-3</v>
      </c>
    </row>
    <row r="378" spans="1:5" x14ac:dyDescent="0.35">
      <c r="A378" t="s">
        <v>135</v>
      </c>
      <c r="B378">
        <v>2020</v>
      </c>
      <c r="C378" s="44">
        <v>45</v>
      </c>
      <c r="D378" s="8">
        <v>0.99270072992700731</v>
      </c>
      <c r="E378" s="8">
        <v>1.9644252622220948E-3</v>
      </c>
    </row>
    <row r="379" spans="1:5" x14ac:dyDescent="0.35">
      <c r="A379" t="s">
        <v>80</v>
      </c>
      <c r="B379">
        <v>2020</v>
      </c>
      <c r="C379" s="44">
        <v>46</v>
      </c>
      <c r="D379" s="8">
        <v>0.99362477231329693</v>
      </c>
      <c r="E379" s="8">
        <v>2.3411064606436126E-3</v>
      </c>
    </row>
    <row r="380" spans="1:5" x14ac:dyDescent="0.35">
      <c r="A380" t="s">
        <v>105</v>
      </c>
      <c r="B380">
        <v>2020</v>
      </c>
      <c r="C380" s="44">
        <v>47</v>
      </c>
      <c r="D380" s="8">
        <v>0.83069977426636565</v>
      </c>
      <c r="E380" s="8">
        <v>8.2042439008329759E-3</v>
      </c>
    </row>
    <row r="381" spans="1:5" x14ac:dyDescent="0.35">
      <c r="A381" t="s">
        <v>106</v>
      </c>
      <c r="B381">
        <v>2020</v>
      </c>
      <c r="C381" s="44">
        <v>48</v>
      </c>
      <c r="D381" s="8">
        <v>0.88299418604651159</v>
      </c>
      <c r="E381" s="8">
        <v>6.776889624365282E-3</v>
      </c>
    </row>
    <row r="382" spans="1:5" x14ac:dyDescent="0.35">
      <c r="A382" t="s">
        <v>108</v>
      </c>
      <c r="B382">
        <v>2020</v>
      </c>
      <c r="C382" s="44">
        <v>49</v>
      </c>
      <c r="D382" s="8">
        <v>0.83943833943833945</v>
      </c>
      <c r="E382" s="8">
        <v>1.4124322203555225E-2</v>
      </c>
    </row>
    <row r="383" spans="1:5" x14ac:dyDescent="0.35">
      <c r="A383" t="s">
        <v>102</v>
      </c>
      <c r="B383">
        <v>2020</v>
      </c>
      <c r="C383" s="44">
        <v>50</v>
      </c>
      <c r="D383" s="8">
        <v>0.84360703106188295</v>
      </c>
      <c r="E383" s="8">
        <v>1.1728904986832165E-2</v>
      </c>
    </row>
    <row r="384" spans="1:5" x14ac:dyDescent="0.35">
      <c r="A384" t="s">
        <v>109</v>
      </c>
      <c r="B384">
        <v>2020</v>
      </c>
      <c r="C384" s="44">
        <v>51</v>
      </c>
      <c r="D384" s="8">
        <v>0.97441838015252435</v>
      </c>
      <c r="E384" s="8">
        <v>1.1688245747651689E-2</v>
      </c>
    </row>
    <row r="385" spans="1:5" x14ac:dyDescent="0.35">
      <c r="A385" t="s">
        <v>101</v>
      </c>
      <c r="B385">
        <v>2020</v>
      </c>
      <c r="C385" s="44">
        <v>52</v>
      </c>
      <c r="D385" s="8">
        <v>0.93440233236151604</v>
      </c>
      <c r="E385" s="8">
        <v>2.334480722668114E-3</v>
      </c>
    </row>
    <row r="386" spans="1:5" x14ac:dyDescent="0.35">
      <c r="A386" t="s">
        <v>110</v>
      </c>
      <c r="B386">
        <v>2020</v>
      </c>
      <c r="C386" s="44">
        <v>53</v>
      </c>
      <c r="D386" s="8">
        <v>0.85136120918560887</v>
      </c>
      <c r="E386" s="8">
        <v>8.5245984824816774E-3</v>
      </c>
    </row>
    <row r="387" spans="1:5" x14ac:dyDescent="0.35">
      <c r="A387" t="s">
        <v>111</v>
      </c>
      <c r="B387">
        <v>2020</v>
      </c>
      <c r="C387" s="44">
        <v>54</v>
      </c>
      <c r="D387" s="8">
        <v>0.84938717787554996</v>
      </c>
      <c r="E387" s="8">
        <v>9.0744949157375975E-3</v>
      </c>
    </row>
    <row r="388" spans="1:5" x14ac:dyDescent="0.35">
      <c r="A388" s="11" t="s">
        <v>128</v>
      </c>
      <c r="B388">
        <v>2019</v>
      </c>
      <c r="C388" s="11">
        <v>1</v>
      </c>
      <c r="D388" s="8">
        <v>0.93835616438356162</v>
      </c>
      <c r="E388" s="8">
        <v>8.6135693215339232E-2</v>
      </c>
    </row>
    <row r="389" spans="1:5" x14ac:dyDescent="0.35">
      <c r="A389" s="11" t="s">
        <v>127</v>
      </c>
      <c r="B389">
        <v>2019</v>
      </c>
      <c r="C389" s="11">
        <v>2</v>
      </c>
      <c r="D389" s="8">
        <v>1</v>
      </c>
      <c r="E389" s="8">
        <v>3.5301278149726112E-2</v>
      </c>
    </row>
    <row r="390" spans="1:5" x14ac:dyDescent="0.35">
      <c r="A390" s="11" t="s">
        <v>142</v>
      </c>
      <c r="B390">
        <v>2019</v>
      </c>
      <c r="C390" s="11">
        <v>3</v>
      </c>
      <c r="D390" s="8">
        <v>0.81818181818181823</v>
      </c>
      <c r="E390" s="8">
        <v>8.771929824561403E-3</v>
      </c>
    </row>
    <row r="391" spans="1:5" x14ac:dyDescent="0.35">
      <c r="A391" s="11" t="s">
        <v>71</v>
      </c>
      <c r="B391">
        <v>2019</v>
      </c>
      <c r="C391" s="11">
        <v>4</v>
      </c>
      <c r="D391" s="8">
        <v>0.77777777777777779</v>
      </c>
      <c r="E391" s="8">
        <v>1.578551741418191E-2</v>
      </c>
    </row>
    <row r="392" spans="1:5" x14ac:dyDescent="0.35">
      <c r="A392" s="11" t="s">
        <v>62</v>
      </c>
      <c r="B392">
        <v>2019</v>
      </c>
      <c r="C392" s="11">
        <v>5</v>
      </c>
      <c r="D392" s="8">
        <v>0.83333333333333337</v>
      </c>
      <c r="E392" s="8">
        <v>2.3290203327171903E-2</v>
      </c>
    </row>
    <row r="393" spans="1:5" x14ac:dyDescent="0.35">
      <c r="A393" s="11" t="s">
        <v>88</v>
      </c>
      <c r="B393">
        <v>2019</v>
      </c>
      <c r="C393" s="11">
        <v>6</v>
      </c>
      <c r="D393" s="8">
        <v>0.89655172413793105</v>
      </c>
      <c r="E393" s="8">
        <v>1.3367135284627794E-2</v>
      </c>
    </row>
    <row r="394" spans="1:5" x14ac:dyDescent="0.35">
      <c r="A394" s="44" t="s">
        <v>67</v>
      </c>
      <c r="B394">
        <v>2019</v>
      </c>
      <c r="C394" s="11">
        <v>7</v>
      </c>
      <c r="D394" s="14">
        <v>0.96969696969696972</v>
      </c>
      <c r="E394" s="14">
        <v>7.5402719067748205E-3</v>
      </c>
    </row>
    <row r="395" spans="1:5" x14ac:dyDescent="0.35">
      <c r="A395" s="11" t="s">
        <v>77</v>
      </c>
      <c r="B395">
        <v>2019</v>
      </c>
      <c r="C395" s="11">
        <v>8</v>
      </c>
      <c r="D395" s="13">
        <v>0.93133047210300424</v>
      </c>
      <c r="E395" s="13">
        <v>5.0183071290114151E-2</v>
      </c>
    </row>
    <row r="396" spans="1:5" x14ac:dyDescent="0.35">
      <c r="A396" s="11" t="s">
        <v>75</v>
      </c>
      <c r="B396">
        <v>2019</v>
      </c>
      <c r="C396" s="11">
        <v>9</v>
      </c>
      <c r="D396" s="13">
        <v>0.99090909090909096</v>
      </c>
      <c r="E396" s="13">
        <v>3.9131981501245111E-2</v>
      </c>
    </row>
    <row r="397" spans="1:5" x14ac:dyDescent="0.35">
      <c r="A397" s="11" t="s">
        <v>86</v>
      </c>
      <c r="B397">
        <v>2019</v>
      </c>
      <c r="C397" s="11">
        <v>10</v>
      </c>
      <c r="D397" s="13">
        <v>0.99363057324840764</v>
      </c>
      <c r="E397" s="13">
        <v>2.5373053924473414E-2</v>
      </c>
    </row>
    <row r="398" spans="1:5" x14ac:dyDescent="0.35">
      <c r="A398" s="11" t="s">
        <v>136</v>
      </c>
      <c r="B398">
        <v>2019</v>
      </c>
      <c r="C398" s="11">
        <v>11</v>
      </c>
      <c r="D398" s="13">
        <v>1</v>
      </c>
      <c r="E398" s="13">
        <v>1.4513149793297564E-3</v>
      </c>
    </row>
    <row r="399" spans="1:5" x14ac:dyDescent="0.35">
      <c r="A399" s="11" t="s">
        <v>48</v>
      </c>
      <c r="B399">
        <v>2019</v>
      </c>
      <c r="C399" s="11">
        <v>12</v>
      </c>
      <c r="D399" s="13">
        <v>0.97222222222222221</v>
      </c>
      <c r="E399" s="13">
        <v>1.5005627110166312E-3</v>
      </c>
    </row>
    <row r="400" spans="1:5" x14ac:dyDescent="0.35">
      <c r="A400" s="11" t="s">
        <v>61</v>
      </c>
      <c r="B400">
        <v>2019</v>
      </c>
      <c r="C400" s="11">
        <v>13</v>
      </c>
      <c r="D400" s="13">
        <v>1</v>
      </c>
      <c r="E400" s="13">
        <v>3.7772909269471935E-4</v>
      </c>
    </row>
    <row r="401" spans="1:5" x14ac:dyDescent="0.35">
      <c r="A401" s="11" t="s">
        <v>99</v>
      </c>
      <c r="B401">
        <v>2019</v>
      </c>
      <c r="C401" s="11">
        <v>14</v>
      </c>
      <c r="D401" s="13">
        <v>0.87591240875912413</v>
      </c>
      <c r="E401" s="13">
        <v>5.0740740740740737E-3</v>
      </c>
    </row>
    <row r="402" spans="1:5" x14ac:dyDescent="0.35">
      <c r="A402" s="11" t="s">
        <v>66</v>
      </c>
      <c r="B402">
        <v>2019</v>
      </c>
      <c r="C402" s="11">
        <v>15</v>
      </c>
      <c r="D402" s="13">
        <v>0.73529411764705888</v>
      </c>
      <c r="E402" s="13">
        <v>1.0118746465878992E-3</v>
      </c>
    </row>
    <row r="403" spans="1:5" x14ac:dyDescent="0.35">
      <c r="A403" s="11" t="s">
        <v>143</v>
      </c>
      <c r="B403">
        <v>2019</v>
      </c>
      <c r="C403" s="11">
        <v>16</v>
      </c>
      <c r="D403" s="13">
        <v>1</v>
      </c>
      <c r="E403" s="13">
        <v>2.0298296708145796E-3</v>
      </c>
    </row>
    <row r="404" spans="1:5" x14ac:dyDescent="0.35">
      <c r="A404" s="11" t="s">
        <v>123</v>
      </c>
      <c r="B404">
        <v>2019</v>
      </c>
      <c r="C404" s="11">
        <v>17</v>
      </c>
      <c r="D404" s="13">
        <v>0.98275862068965514</v>
      </c>
      <c r="E404" s="13">
        <v>1.5569215902075E-3</v>
      </c>
    </row>
    <row r="405" spans="1:5" x14ac:dyDescent="0.35">
      <c r="A405" s="11" t="s">
        <v>50</v>
      </c>
      <c r="B405">
        <v>2019</v>
      </c>
      <c r="C405" s="11">
        <v>18</v>
      </c>
      <c r="D405" s="13">
        <v>1</v>
      </c>
      <c r="E405" s="13">
        <v>3.0380930123860713E-4</v>
      </c>
    </row>
    <row r="406" spans="1:5" x14ac:dyDescent="0.35">
      <c r="A406" s="11" t="s">
        <v>96</v>
      </c>
      <c r="B406">
        <v>2019</v>
      </c>
      <c r="C406" s="11">
        <v>19</v>
      </c>
      <c r="D406" s="13">
        <v>0.9609544468546638</v>
      </c>
      <c r="E406" s="13">
        <v>6.1563800663268713E-2</v>
      </c>
    </row>
    <row r="407" spans="1:5" x14ac:dyDescent="0.35">
      <c r="A407" s="11" t="s">
        <v>74</v>
      </c>
      <c r="B407">
        <v>2019</v>
      </c>
      <c r="C407" s="11">
        <v>20</v>
      </c>
      <c r="D407" s="13">
        <v>0.97974683544303798</v>
      </c>
      <c r="E407" s="13">
        <v>7.4101866616640092E-3</v>
      </c>
    </row>
    <row r="408" spans="1:5" x14ac:dyDescent="0.35">
      <c r="A408" s="11" t="s">
        <v>137</v>
      </c>
      <c r="B408">
        <v>2019</v>
      </c>
      <c r="C408" s="11">
        <v>21</v>
      </c>
      <c r="D408" s="13">
        <v>1</v>
      </c>
      <c r="E408" s="13">
        <v>3.2901387740097419E-3</v>
      </c>
    </row>
    <row r="409" spans="1:5" x14ac:dyDescent="0.35">
      <c r="A409" s="11" t="s">
        <v>144</v>
      </c>
      <c r="B409">
        <v>2019</v>
      </c>
      <c r="C409" s="11">
        <v>22</v>
      </c>
      <c r="D409" s="13">
        <v>0.99741602067183466</v>
      </c>
      <c r="E409" s="13">
        <v>6.8499212347558278E-3</v>
      </c>
    </row>
    <row r="410" spans="1:5" x14ac:dyDescent="0.35">
      <c r="A410" s="11" t="s">
        <v>81</v>
      </c>
      <c r="B410">
        <v>2019</v>
      </c>
      <c r="C410" s="11">
        <v>23</v>
      </c>
      <c r="D410" s="13">
        <v>1</v>
      </c>
      <c r="E410" s="13">
        <v>2.0192442758814439E-3</v>
      </c>
    </row>
    <row r="411" spans="1:5" x14ac:dyDescent="0.35">
      <c r="A411" s="11" t="s">
        <v>83</v>
      </c>
      <c r="B411">
        <v>2019</v>
      </c>
      <c r="C411" s="11">
        <v>24</v>
      </c>
      <c r="D411" s="13">
        <v>0.91335740072202165</v>
      </c>
      <c r="E411" s="13">
        <v>4.8392732354996509E-3</v>
      </c>
    </row>
    <row r="412" spans="1:5" x14ac:dyDescent="0.35">
      <c r="A412" s="11" t="s">
        <v>114</v>
      </c>
      <c r="B412">
        <v>2019</v>
      </c>
      <c r="C412" s="11">
        <v>25</v>
      </c>
      <c r="D412" s="12">
        <v>0.8</v>
      </c>
      <c r="E412" s="12">
        <v>1.6855731791595732E-4</v>
      </c>
    </row>
    <row r="413" spans="1:5" x14ac:dyDescent="0.35">
      <c r="A413" s="11" t="s">
        <v>58</v>
      </c>
      <c r="B413">
        <v>2019</v>
      </c>
      <c r="C413" s="11">
        <v>26</v>
      </c>
      <c r="D413" s="12">
        <v>0.95348837209302328</v>
      </c>
      <c r="E413" s="12">
        <v>1.3108956770928602E-3</v>
      </c>
    </row>
    <row r="414" spans="1:5" x14ac:dyDescent="0.35">
      <c r="A414" s="11" t="s">
        <v>55</v>
      </c>
      <c r="B414">
        <v>2019</v>
      </c>
      <c r="C414" s="11">
        <v>27</v>
      </c>
      <c r="D414" s="12">
        <v>0.95149253731343286</v>
      </c>
      <c r="E414" s="12">
        <v>4.0035853002688979E-3</v>
      </c>
    </row>
    <row r="415" spans="1:5" x14ac:dyDescent="0.35">
      <c r="A415" s="11" t="s">
        <v>133</v>
      </c>
      <c r="B415">
        <v>2019</v>
      </c>
      <c r="C415" s="11">
        <v>28</v>
      </c>
      <c r="D415" s="12">
        <v>0.98165137614678899</v>
      </c>
      <c r="E415" s="12">
        <v>2.7310766455363182E-3</v>
      </c>
    </row>
    <row r="416" spans="1:5" x14ac:dyDescent="0.35">
      <c r="A416" s="11" t="s">
        <v>134</v>
      </c>
      <c r="B416">
        <v>2019</v>
      </c>
      <c r="C416" s="11">
        <v>29</v>
      </c>
      <c r="D416" s="12">
        <v>0.99300699300699302</v>
      </c>
      <c r="E416" s="12">
        <v>1.6914669631662368E-3</v>
      </c>
    </row>
    <row r="417" spans="1:5" x14ac:dyDescent="0.35">
      <c r="A417" s="11" t="s">
        <v>139</v>
      </c>
      <c r="B417">
        <v>2019</v>
      </c>
      <c r="C417" s="11">
        <v>30</v>
      </c>
      <c r="D417" s="12">
        <v>0.97473997028231796</v>
      </c>
      <c r="E417" s="12">
        <v>1.5059634361923516E-2</v>
      </c>
    </row>
    <row r="418" spans="1:5" x14ac:dyDescent="0.35">
      <c r="A418" s="11" t="s">
        <v>56</v>
      </c>
      <c r="B418">
        <v>2019</v>
      </c>
      <c r="C418" s="11">
        <v>31</v>
      </c>
      <c r="D418" s="8">
        <v>0.97826086956521741</v>
      </c>
      <c r="E418" s="8">
        <v>5.0161935814531692E-4</v>
      </c>
    </row>
    <row r="419" spans="1:5" x14ac:dyDescent="0.35">
      <c r="A419" s="11" t="s">
        <v>79</v>
      </c>
      <c r="B419">
        <v>2019</v>
      </c>
      <c r="C419" s="11">
        <v>32</v>
      </c>
      <c r="D419" s="8">
        <v>0.95764705882352941</v>
      </c>
      <c r="E419" s="8">
        <v>4.3789152654137818E-3</v>
      </c>
    </row>
    <row r="420" spans="1:5" x14ac:dyDescent="0.35">
      <c r="A420" s="11" t="s">
        <v>76</v>
      </c>
      <c r="B420">
        <v>2019</v>
      </c>
      <c r="C420" s="11">
        <v>33</v>
      </c>
      <c r="D420" s="8">
        <v>0.99683544303797467</v>
      </c>
      <c r="E420" s="8">
        <v>3.2485222307890001E-3</v>
      </c>
    </row>
    <row r="421" spans="1:5" x14ac:dyDescent="0.35">
      <c r="A421" s="11" t="s">
        <v>93</v>
      </c>
      <c r="B421">
        <v>2019</v>
      </c>
      <c r="C421" s="11">
        <v>34</v>
      </c>
      <c r="D421" s="8">
        <v>1</v>
      </c>
      <c r="E421" s="8">
        <v>1.3420759998466199E-3</v>
      </c>
    </row>
    <row r="422" spans="1:5" x14ac:dyDescent="0.35">
      <c r="A422" s="11" t="s">
        <v>63</v>
      </c>
      <c r="B422">
        <v>2019</v>
      </c>
      <c r="C422" s="11">
        <v>35</v>
      </c>
      <c r="D422" s="8">
        <v>0.99735449735449733</v>
      </c>
      <c r="E422" s="8">
        <v>3.5866780529461998E-3</v>
      </c>
    </row>
    <row r="423" spans="1:5" x14ac:dyDescent="0.35">
      <c r="A423" s="11" t="s">
        <v>140</v>
      </c>
      <c r="B423">
        <v>2019</v>
      </c>
      <c r="C423" s="11">
        <v>36</v>
      </c>
      <c r="D423" s="8">
        <v>0.92941176470588238</v>
      </c>
      <c r="E423" s="8">
        <v>7.2407526596751596E-3</v>
      </c>
    </row>
    <row r="424" spans="1:5" x14ac:dyDescent="0.35">
      <c r="A424" s="11" t="s">
        <v>87</v>
      </c>
      <c r="B424">
        <v>2019</v>
      </c>
      <c r="C424" s="11">
        <v>37</v>
      </c>
      <c r="D424" s="8">
        <v>0.94248366013071894</v>
      </c>
      <c r="E424" s="8">
        <v>6.8404345687843697E-3</v>
      </c>
    </row>
    <row r="425" spans="1:5" x14ac:dyDescent="0.35">
      <c r="A425" s="11" t="s">
        <v>103</v>
      </c>
      <c r="B425">
        <v>2019</v>
      </c>
      <c r="C425" s="11">
        <v>38</v>
      </c>
      <c r="D425" s="8">
        <v>0.73181818181818181</v>
      </c>
      <c r="E425" s="8">
        <v>1.9374569676396652E-2</v>
      </c>
    </row>
    <row r="426" spans="1:5" x14ac:dyDescent="0.35">
      <c r="A426" s="11" t="s">
        <v>141</v>
      </c>
      <c r="B426">
        <v>2019</v>
      </c>
      <c r="C426" s="11">
        <v>39</v>
      </c>
      <c r="D426" s="8">
        <v>0.93740219092331767</v>
      </c>
      <c r="E426" s="8">
        <v>4.888161316973165E-3</v>
      </c>
    </row>
    <row r="427" spans="1:5" x14ac:dyDescent="0.35">
      <c r="A427" s="11" t="s">
        <v>97</v>
      </c>
      <c r="B427">
        <v>2019</v>
      </c>
      <c r="C427" s="11">
        <v>40</v>
      </c>
      <c r="D427" s="8">
        <v>0.7365684575389948</v>
      </c>
      <c r="E427" s="8">
        <v>4.3164391247428463E-3</v>
      </c>
    </row>
    <row r="428" spans="1:5" x14ac:dyDescent="0.35">
      <c r="A428" s="11" t="s">
        <v>92</v>
      </c>
      <c r="B428">
        <v>2019</v>
      </c>
      <c r="C428" s="11">
        <v>41</v>
      </c>
      <c r="D428" s="8">
        <v>0.99150141643059486</v>
      </c>
      <c r="E428" s="8">
        <v>2.4767237084903212E-3</v>
      </c>
    </row>
    <row r="429" spans="1:5" x14ac:dyDescent="0.35">
      <c r="A429" s="11" t="s">
        <v>60</v>
      </c>
      <c r="B429">
        <v>2019</v>
      </c>
      <c r="C429" s="11">
        <v>42</v>
      </c>
      <c r="D429" s="8">
        <v>0.96551724137931039</v>
      </c>
      <c r="E429" s="8">
        <v>2.966509134802267E-3</v>
      </c>
    </row>
    <row r="430" spans="1:5" x14ac:dyDescent="0.35">
      <c r="A430" s="11" t="s">
        <v>125</v>
      </c>
      <c r="B430">
        <v>2019</v>
      </c>
      <c r="C430" s="11">
        <v>43</v>
      </c>
      <c r="D430" s="8">
        <v>0.9638721630384437</v>
      </c>
      <c r="E430" s="8">
        <v>1.44178436675682E-2</v>
      </c>
    </row>
    <row r="431" spans="1:5" x14ac:dyDescent="0.35">
      <c r="A431" s="11" t="s">
        <v>72</v>
      </c>
      <c r="B431">
        <v>2019</v>
      </c>
      <c r="C431" s="11">
        <v>44</v>
      </c>
      <c r="D431" s="8">
        <v>0.98867924528301887</v>
      </c>
      <c r="E431" s="8">
        <v>1.7132254540047453E-3</v>
      </c>
    </row>
    <row r="432" spans="1:5" x14ac:dyDescent="0.35">
      <c r="A432" s="11" t="s">
        <v>100</v>
      </c>
      <c r="B432">
        <v>2019</v>
      </c>
      <c r="C432" s="11">
        <v>45</v>
      </c>
      <c r="D432" s="8">
        <v>0.96461538461538465</v>
      </c>
      <c r="E432" s="8">
        <v>1.1242432977803401E-2</v>
      </c>
    </row>
    <row r="433" spans="1:5" x14ac:dyDescent="0.35">
      <c r="A433" s="11" t="s">
        <v>98</v>
      </c>
      <c r="B433">
        <v>2019</v>
      </c>
      <c r="C433" s="11">
        <v>46</v>
      </c>
      <c r="D433" s="8">
        <v>0.98674521354933731</v>
      </c>
      <c r="E433" s="8">
        <v>1.8479911601247598E-2</v>
      </c>
    </row>
    <row r="434" spans="1:5" x14ac:dyDescent="0.35">
      <c r="A434" s="11" t="s">
        <v>95</v>
      </c>
      <c r="B434">
        <v>2019</v>
      </c>
      <c r="C434" s="11">
        <v>47</v>
      </c>
      <c r="D434" s="8">
        <v>0.9358974358974359</v>
      </c>
      <c r="E434" s="8">
        <v>1.2438538205980067E-3</v>
      </c>
    </row>
    <row r="435" spans="1:5" x14ac:dyDescent="0.35">
      <c r="A435" s="11" t="s">
        <v>94</v>
      </c>
      <c r="B435">
        <v>2019</v>
      </c>
      <c r="C435" s="11">
        <v>48</v>
      </c>
      <c r="D435" s="8">
        <v>0.94982896237172176</v>
      </c>
      <c r="E435" s="8">
        <v>3.6282698903244755E-3</v>
      </c>
    </row>
    <row r="436" spans="1:5" x14ac:dyDescent="0.35">
      <c r="A436" s="11" t="s">
        <v>135</v>
      </c>
      <c r="B436">
        <v>2019</v>
      </c>
      <c r="C436" s="11">
        <v>49</v>
      </c>
      <c r="D436" s="8">
        <v>0.9867424242424242</v>
      </c>
      <c r="E436" s="8">
        <v>1.8288944540853969E-3</v>
      </c>
    </row>
    <row r="437" spans="1:5" x14ac:dyDescent="0.35">
      <c r="A437" s="11" t="s">
        <v>80</v>
      </c>
      <c r="B437">
        <v>2019</v>
      </c>
      <c r="C437" s="11">
        <v>50</v>
      </c>
      <c r="D437" s="8">
        <v>0.97501688048615798</v>
      </c>
      <c r="E437" s="8">
        <v>3.1087647855246171E-3</v>
      </c>
    </row>
    <row r="438" spans="1:5" x14ac:dyDescent="0.35">
      <c r="A438" s="11" t="s">
        <v>105</v>
      </c>
      <c r="B438">
        <v>2019</v>
      </c>
      <c r="C438" s="11">
        <v>51</v>
      </c>
      <c r="D438" s="8">
        <v>0.75818989450305385</v>
      </c>
      <c r="E438" s="8">
        <v>7.4104095475370987E-3</v>
      </c>
    </row>
    <row r="439" spans="1:5" x14ac:dyDescent="0.35">
      <c r="A439" s="11" t="s">
        <v>106</v>
      </c>
      <c r="B439">
        <v>2019</v>
      </c>
      <c r="C439" s="11">
        <v>52</v>
      </c>
      <c r="D439" s="8">
        <v>0.88868274582560292</v>
      </c>
      <c r="E439" s="8">
        <v>7.7162285759732772E-3</v>
      </c>
    </row>
    <row r="440" spans="1:5" x14ac:dyDescent="0.35">
      <c r="A440" s="11" t="s">
        <v>102</v>
      </c>
      <c r="B440">
        <v>2019</v>
      </c>
      <c r="C440" s="11">
        <v>53</v>
      </c>
      <c r="D440" s="8">
        <v>0.92930374904361135</v>
      </c>
      <c r="E440" s="8">
        <v>9.2606238557071518E-3</v>
      </c>
    </row>
    <row r="441" spans="1:5" x14ac:dyDescent="0.35">
      <c r="A441" s="11" t="s">
        <v>108</v>
      </c>
      <c r="B441">
        <v>2019</v>
      </c>
      <c r="C441" s="11">
        <v>54</v>
      </c>
      <c r="D441" s="8">
        <v>0.76175027694255415</v>
      </c>
      <c r="E441" s="8">
        <v>1.7700404064454233E-2</v>
      </c>
    </row>
    <row r="442" spans="1:5" x14ac:dyDescent="0.35">
      <c r="A442" s="11" t="s">
        <v>109</v>
      </c>
      <c r="B442">
        <v>2019</v>
      </c>
      <c r="C442" s="11">
        <v>55</v>
      </c>
      <c r="D442" s="8">
        <v>0.98447584161869872</v>
      </c>
      <c r="E442" s="8">
        <v>1.928255746424111E-2</v>
      </c>
    </row>
    <row r="443" spans="1:5" x14ac:dyDescent="0.35">
      <c r="A443" s="11" t="s">
        <v>101</v>
      </c>
      <c r="B443">
        <v>2019</v>
      </c>
      <c r="C443" s="11">
        <v>56</v>
      </c>
      <c r="D443" s="8">
        <v>0.86322950232724671</v>
      </c>
      <c r="E443" s="8">
        <v>2.3339163249633784E-3</v>
      </c>
    </row>
    <row r="444" spans="1:5" x14ac:dyDescent="0.35">
      <c r="A444" s="11" t="s">
        <v>110</v>
      </c>
      <c r="B444">
        <v>2019</v>
      </c>
      <c r="C444" s="11">
        <v>57</v>
      </c>
      <c r="D444" s="8">
        <v>0.62156203790832099</v>
      </c>
      <c r="E444" s="8">
        <v>9.1830640548035986E-3</v>
      </c>
    </row>
    <row r="445" spans="1:5" x14ac:dyDescent="0.35">
      <c r="A445" s="11" t="s">
        <v>111</v>
      </c>
      <c r="B445">
        <v>2019</v>
      </c>
      <c r="C445" s="11">
        <v>58</v>
      </c>
      <c r="D445" s="8">
        <v>0.82240732015017248</v>
      </c>
      <c r="E445" s="8">
        <v>1.1462793268991203E-2</v>
      </c>
    </row>
    <row r="446" spans="1:5" x14ac:dyDescent="0.35">
      <c r="A446" t="s">
        <v>145</v>
      </c>
      <c r="B446">
        <v>2018</v>
      </c>
      <c r="C446" s="11">
        <v>1</v>
      </c>
      <c r="D446" s="8">
        <v>0.96296296296296291</v>
      </c>
      <c r="E446" s="8">
        <v>8.0013170892327956E-2</v>
      </c>
    </row>
    <row r="447" spans="1:5" x14ac:dyDescent="0.35">
      <c r="A447" t="s">
        <v>71</v>
      </c>
      <c r="B447">
        <v>2018</v>
      </c>
      <c r="C447" s="11">
        <v>2</v>
      </c>
      <c r="D447" s="8">
        <v>0.97674418604651159</v>
      </c>
      <c r="E447" s="8">
        <v>1.2146892655367232E-2</v>
      </c>
    </row>
    <row r="448" spans="1:5" x14ac:dyDescent="0.35">
      <c r="A448" t="s">
        <v>75</v>
      </c>
      <c r="B448">
        <v>2018</v>
      </c>
      <c r="C448" s="11">
        <v>3</v>
      </c>
      <c r="D448" s="14">
        <v>0.76214833759590794</v>
      </c>
      <c r="E448" s="14">
        <v>8.0205128205128207E-2</v>
      </c>
    </row>
    <row r="449" spans="1:5" x14ac:dyDescent="0.35">
      <c r="A449" t="s">
        <v>142</v>
      </c>
      <c r="B449">
        <v>2018</v>
      </c>
      <c r="C449" s="11">
        <v>4</v>
      </c>
      <c r="D449" s="13">
        <v>0.79338842975206614</v>
      </c>
      <c r="E449" s="13">
        <v>1.6882935677410352E-2</v>
      </c>
    </row>
    <row r="450" spans="1:5" x14ac:dyDescent="0.35">
      <c r="A450" t="s">
        <v>67</v>
      </c>
      <c r="B450">
        <v>2018</v>
      </c>
      <c r="C450" s="11">
        <v>5</v>
      </c>
      <c r="D450" s="13">
        <v>1</v>
      </c>
      <c r="E450" s="13">
        <v>4.3662969081897573E-3</v>
      </c>
    </row>
    <row r="451" spans="1:5" x14ac:dyDescent="0.35">
      <c r="A451" t="s">
        <v>77</v>
      </c>
      <c r="B451">
        <v>2018</v>
      </c>
      <c r="C451" s="11">
        <v>6</v>
      </c>
      <c r="D451" s="13">
        <v>0.90909090909090906</v>
      </c>
      <c r="E451" s="13">
        <v>4.3804755944931162E-2</v>
      </c>
    </row>
    <row r="452" spans="1:5" x14ac:dyDescent="0.35">
      <c r="A452" t="s">
        <v>62</v>
      </c>
      <c r="B452">
        <v>2018</v>
      </c>
      <c r="C452" s="11">
        <v>7</v>
      </c>
      <c r="D452" s="13">
        <v>0.92086330935251803</v>
      </c>
      <c r="E452" s="13">
        <v>1.0439354111903868E-2</v>
      </c>
    </row>
    <row r="453" spans="1:5" x14ac:dyDescent="0.35">
      <c r="A453" t="s">
        <v>99</v>
      </c>
      <c r="B453">
        <v>2018</v>
      </c>
      <c r="C453" s="11">
        <v>8</v>
      </c>
      <c r="D453" s="13">
        <v>1</v>
      </c>
      <c r="E453" s="13">
        <v>1.2272596015015882E-3</v>
      </c>
    </row>
    <row r="454" spans="1:5" x14ac:dyDescent="0.35">
      <c r="A454" t="s">
        <v>48</v>
      </c>
      <c r="B454">
        <v>2018</v>
      </c>
      <c r="C454" s="11">
        <v>9</v>
      </c>
      <c r="D454" s="13">
        <v>0.9375</v>
      </c>
      <c r="E454" s="13">
        <v>7.0298769771529003E-4</v>
      </c>
    </row>
    <row r="455" spans="1:5" x14ac:dyDescent="0.35">
      <c r="A455" t="s">
        <v>146</v>
      </c>
      <c r="B455">
        <v>2018</v>
      </c>
      <c r="C455" s="11">
        <v>10</v>
      </c>
      <c r="D455" s="13">
        <v>1</v>
      </c>
      <c r="E455" s="13">
        <v>1.3358614151512539E-3</v>
      </c>
    </row>
    <row r="456" spans="1:5" x14ac:dyDescent="0.35">
      <c r="A456" t="s">
        <v>86</v>
      </c>
      <c r="B456">
        <v>2018</v>
      </c>
      <c r="C456" s="11">
        <v>11</v>
      </c>
      <c r="D456" s="13">
        <v>0.96153846153846156</v>
      </c>
      <c r="E456" s="13">
        <v>1.1691085547270207E-2</v>
      </c>
    </row>
    <row r="457" spans="1:5" x14ac:dyDescent="0.35">
      <c r="A457" t="s">
        <v>61</v>
      </c>
      <c r="B457">
        <v>2018</v>
      </c>
      <c r="C457" s="11">
        <v>12</v>
      </c>
      <c r="D457" s="13">
        <v>1</v>
      </c>
      <c r="E457" s="13">
        <v>6.5791751791959561E-4</v>
      </c>
    </row>
    <row r="458" spans="1:5" x14ac:dyDescent="0.35">
      <c r="A458" t="s">
        <v>96</v>
      </c>
      <c r="B458">
        <v>2018</v>
      </c>
      <c r="C458" s="11">
        <v>13</v>
      </c>
      <c r="D458" s="13">
        <v>0.86900464156781843</v>
      </c>
      <c r="E458" s="13">
        <v>6.4743397108417644E-2</v>
      </c>
    </row>
    <row r="459" spans="1:5" x14ac:dyDescent="0.35">
      <c r="A459" t="s">
        <v>66</v>
      </c>
      <c r="B459">
        <v>2018</v>
      </c>
      <c r="C459" s="11">
        <v>14</v>
      </c>
      <c r="D459" s="13">
        <v>0.77272727272727271</v>
      </c>
      <c r="E459" s="13">
        <v>1.1906372615342984E-3</v>
      </c>
    </row>
    <row r="460" spans="1:5" x14ac:dyDescent="0.35">
      <c r="A460" t="s">
        <v>141</v>
      </c>
      <c r="B460">
        <v>2018</v>
      </c>
      <c r="C460" s="11">
        <v>15</v>
      </c>
      <c r="D460" s="13">
        <v>0.95431472081218272</v>
      </c>
      <c r="E460" s="13">
        <v>5.2809350203731507E-3</v>
      </c>
    </row>
    <row r="461" spans="1:5" x14ac:dyDescent="0.35">
      <c r="A461" t="s">
        <v>74</v>
      </c>
      <c r="B461">
        <v>2018</v>
      </c>
      <c r="C461" s="11">
        <v>16</v>
      </c>
      <c r="D461" s="13">
        <v>0.95652173913043481</v>
      </c>
      <c r="E461" s="13">
        <v>1.6164658634538153E-2</v>
      </c>
    </row>
    <row r="462" spans="1:5" x14ac:dyDescent="0.35">
      <c r="A462" t="s">
        <v>50</v>
      </c>
      <c r="B462">
        <v>2018</v>
      </c>
      <c r="C462" s="11">
        <v>17</v>
      </c>
      <c r="D462" s="13">
        <v>1</v>
      </c>
      <c r="E462" s="13">
        <v>1.0636286281554316E-3</v>
      </c>
    </row>
    <row r="463" spans="1:5" x14ac:dyDescent="0.35">
      <c r="A463" t="s">
        <v>123</v>
      </c>
      <c r="B463">
        <v>2018</v>
      </c>
      <c r="C463" s="11">
        <v>18</v>
      </c>
      <c r="D463" s="13">
        <v>1</v>
      </c>
      <c r="E463" s="13">
        <v>1.564140951444596E-3</v>
      </c>
    </row>
    <row r="464" spans="1:5" x14ac:dyDescent="0.35">
      <c r="A464" t="s">
        <v>143</v>
      </c>
      <c r="B464">
        <v>2018</v>
      </c>
      <c r="C464" s="11">
        <v>19</v>
      </c>
      <c r="D464" s="13">
        <v>1</v>
      </c>
      <c r="E464" s="13">
        <v>1.8005119527962168E-3</v>
      </c>
    </row>
    <row r="465" spans="1:5" x14ac:dyDescent="0.35">
      <c r="A465" t="s">
        <v>144</v>
      </c>
      <c r="B465">
        <v>2018</v>
      </c>
      <c r="C465" s="11">
        <v>20</v>
      </c>
      <c r="D465" s="13">
        <v>0.92592592592592593</v>
      </c>
      <c r="E465" s="13">
        <v>4.9844108959632427E-3</v>
      </c>
    </row>
    <row r="466" spans="1:5" x14ac:dyDescent="0.35">
      <c r="A466" t="s">
        <v>83</v>
      </c>
      <c r="B466">
        <v>2018</v>
      </c>
      <c r="C466" s="11">
        <v>21</v>
      </c>
      <c r="D466" s="12">
        <v>0.81856540084388185</v>
      </c>
      <c r="E466" s="12">
        <v>4.5611131425492193E-3</v>
      </c>
    </row>
    <row r="467" spans="1:5" x14ac:dyDescent="0.35">
      <c r="A467" t="s">
        <v>114</v>
      </c>
      <c r="B467">
        <v>2018</v>
      </c>
      <c r="C467" s="11">
        <v>22</v>
      </c>
      <c r="D467" s="12">
        <v>1</v>
      </c>
      <c r="E467" s="12">
        <v>7.6784274580565901E-5</v>
      </c>
    </row>
    <row r="468" spans="1:5" x14ac:dyDescent="0.35">
      <c r="A468" t="s">
        <v>137</v>
      </c>
      <c r="B468">
        <v>2018</v>
      </c>
      <c r="C468" s="11">
        <v>23</v>
      </c>
      <c r="D468" s="12">
        <v>1</v>
      </c>
      <c r="E468" s="12">
        <v>1.7930373342328108E-3</v>
      </c>
    </row>
    <row r="469" spans="1:5" x14ac:dyDescent="0.35">
      <c r="A469" t="s">
        <v>81</v>
      </c>
      <c r="B469">
        <v>2018</v>
      </c>
      <c r="C469" s="11">
        <v>24</v>
      </c>
      <c r="D469" s="12">
        <v>0.96551724137931039</v>
      </c>
      <c r="E469" s="12">
        <v>1.5301276865172886E-3</v>
      </c>
    </row>
    <row r="470" spans="1:5" x14ac:dyDescent="0.35">
      <c r="A470" t="s">
        <v>132</v>
      </c>
      <c r="B470">
        <v>2018</v>
      </c>
      <c r="C470" s="11">
        <v>25</v>
      </c>
      <c r="D470" s="12">
        <v>0.98845043310875846</v>
      </c>
      <c r="E470" s="12">
        <v>3.2885991010951444E-2</v>
      </c>
    </row>
    <row r="471" spans="1:5" x14ac:dyDescent="0.35">
      <c r="A471" t="s">
        <v>55</v>
      </c>
      <c r="B471">
        <v>2018</v>
      </c>
      <c r="C471" s="11">
        <v>26</v>
      </c>
      <c r="D471" s="12">
        <v>0.95652173913043481</v>
      </c>
      <c r="E471" s="12">
        <v>5.2106932487539651E-3</v>
      </c>
    </row>
    <row r="472" spans="1:5" x14ac:dyDescent="0.35">
      <c r="A472" t="s">
        <v>58</v>
      </c>
      <c r="B472">
        <v>2018</v>
      </c>
      <c r="C472" s="11">
        <v>27</v>
      </c>
      <c r="D472" s="8">
        <v>0.9107142857142857</v>
      </c>
      <c r="E472" s="8">
        <v>8.1452175936700029E-4</v>
      </c>
    </row>
    <row r="473" spans="1:5" x14ac:dyDescent="0.35">
      <c r="A473" t="s">
        <v>94</v>
      </c>
      <c r="B473">
        <v>2018</v>
      </c>
      <c r="C473" s="11">
        <v>28</v>
      </c>
      <c r="D473" s="8">
        <v>0.98932384341637014</v>
      </c>
      <c r="E473" s="8">
        <v>3.6664926931106474E-3</v>
      </c>
    </row>
    <row r="474" spans="1:5" x14ac:dyDescent="0.35">
      <c r="A474" t="s">
        <v>134</v>
      </c>
      <c r="B474">
        <v>2018</v>
      </c>
      <c r="C474" s="11">
        <v>29</v>
      </c>
      <c r="D474" s="8">
        <v>0.97435897435897434</v>
      </c>
      <c r="E474" s="8">
        <v>1.3217650647325968E-3</v>
      </c>
    </row>
    <row r="475" spans="1:5" x14ac:dyDescent="0.35">
      <c r="A475" t="s">
        <v>56</v>
      </c>
      <c r="B475">
        <v>2018</v>
      </c>
      <c r="C475" s="11">
        <v>30</v>
      </c>
      <c r="D475" s="8">
        <v>0.94827586206896552</v>
      </c>
      <c r="E475" s="8">
        <v>6.4253824764310319E-4</v>
      </c>
    </row>
    <row r="476" spans="1:5" x14ac:dyDescent="0.35">
      <c r="A476" t="s">
        <v>103</v>
      </c>
      <c r="B476">
        <v>2018</v>
      </c>
      <c r="C476" s="11">
        <v>31</v>
      </c>
      <c r="D476" s="8">
        <v>0.79957446808510635</v>
      </c>
      <c r="E476" s="8">
        <v>2.4173970291733529E-2</v>
      </c>
    </row>
    <row r="477" spans="1:5" x14ac:dyDescent="0.35">
      <c r="A477" t="s">
        <v>87</v>
      </c>
      <c r="B477">
        <v>2018</v>
      </c>
      <c r="C477" s="11">
        <v>32</v>
      </c>
      <c r="D477" s="8">
        <v>0.9263565891472868</v>
      </c>
      <c r="E477" s="8">
        <v>5.2394829564493366E-3</v>
      </c>
    </row>
    <row r="478" spans="1:5" x14ac:dyDescent="0.35">
      <c r="A478" t="s">
        <v>79</v>
      </c>
      <c r="B478">
        <v>2018</v>
      </c>
      <c r="C478" s="11">
        <v>33</v>
      </c>
      <c r="D478" s="8">
        <v>0.98004987531172072</v>
      </c>
      <c r="E478" s="8">
        <v>4.0057939163877926E-3</v>
      </c>
    </row>
    <row r="479" spans="1:5" x14ac:dyDescent="0.35">
      <c r="A479" t="s">
        <v>76</v>
      </c>
      <c r="B479">
        <v>2018</v>
      </c>
      <c r="C479" s="11">
        <v>34</v>
      </c>
      <c r="D479" s="8">
        <v>0.96341463414634143</v>
      </c>
      <c r="E479" s="8">
        <v>2.4396290970397183E-3</v>
      </c>
    </row>
    <row r="480" spans="1:5" x14ac:dyDescent="0.35">
      <c r="A480" t="s">
        <v>93</v>
      </c>
      <c r="B480">
        <v>2018</v>
      </c>
      <c r="C480" s="11">
        <v>35</v>
      </c>
      <c r="D480" s="8">
        <v>0.9673202614379085</v>
      </c>
      <c r="E480" s="8">
        <v>1.4991622328698669E-3</v>
      </c>
    </row>
    <row r="481" spans="1:5" x14ac:dyDescent="0.35">
      <c r="A481" t="s">
        <v>140</v>
      </c>
      <c r="B481">
        <v>2018</v>
      </c>
      <c r="C481" s="11">
        <v>36</v>
      </c>
      <c r="D481" s="8">
        <v>0.97156398104265407</v>
      </c>
      <c r="E481" s="8">
        <v>4.1009095856332119E-3</v>
      </c>
    </row>
    <row r="482" spans="1:5" x14ac:dyDescent="0.35">
      <c r="A482" t="s">
        <v>63</v>
      </c>
      <c r="B482">
        <v>2018</v>
      </c>
      <c r="C482" s="11">
        <v>37</v>
      </c>
      <c r="D482" s="8">
        <v>1</v>
      </c>
      <c r="E482" s="8">
        <v>4.8084524595652864E-3</v>
      </c>
    </row>
    <row r="483" spans="1:5" x14ac:dyDescent="0.35">
      <c r="A483" t="s">
        <v>97</v>
      </c>
      <c r="B483">
        <v>2018</v>
      </c>
      <c r="C483" s="11">
        <v>38</v>
      </c>
      <c r="D483" s="8">
        <v>0.99116997792494477</v>
      </c>
      <c r="E483" s="8">
        <v>3.7641779882836846E-3</v>
      </c>
    </row>
    <row r="484" spans="1:5" x14ac:dyDescent="0.35">
      <c r="A484" t="s">
        <v>125</v>
      </c>
      <c r="B484">
        <v>2018</v>
      </c>
      <c r="C484" s="11">
        <v>39</v>
      </c>
      <c r="D484" s="8">
        <v>0.96328562538892348</v>
      </c>
      <c r="E484" s="8">
        <v>1.2047018606534027E-2</v>
      </c>
    </row>
    <row r="485" spans="1:5" x14ac:dyDescent="0.35">
      <c r="A485" t="s">
        <v>60</v>
      </c>
      <c r="B485">
        <v>2018</v>
      </c>
      <c r="C485" s="11">
        <v>40</v>
      </c>
      <c r="D485" s="8">
        <v>0.96159754224270355</v>
      </c>
      <c r="E485" s="8">
        <v>4.6934817559822067E-3</v>
      </c>
    </row>
    <row r="486" spans="1:5" x14ac:dyDescent="0.35">
      <c r="A486" t="s">
        <v>92</v>
      </c>
      <c r="B486">
        <v>2018</v>
      </c>
      <c r="C486" s="11">
        <v>41</v>
      </c>
      <c r="D486" s="8">
        <v>0.97222222222222221</v>
      </c>
      <c r="E486" s="8">
        <v>2.4310033966519679E-3</v>
      </c>
    </row>
    <row r="487" spans="1:5" x14ac:dyDescent="0.35">
      <c r="A487" t="s">
        <v>72</v>
      </c>
      <c r="B487">
        <v>2018</v>
      </c>
      <c r="C487" s="11">
        <v>42</v>
      </c>
      <c r="D487" s="8">
        <v>0.95024875621890548</v>
      </c>
      <c r="E487" s="8">
        <v>1.2172080517404258E-3</v>
      </c>
    </row>
    <row r="488" spans="1:5" x14ac:dyDescent="0.35">
      <c r="A488" t="s">
        <v>95</v>
      </c>
      <c r="B488">
        <v>2018</v>
      </c>
      <c r="C488" s="11">
        <v>43</v>
      </c>
      <c r="D488" s="8">
        <v>0.9196428571428571</v>
      </c>
      <c r="E488" s="8">
        <v>1.2796490105571043E-3</v>
      </c>
    </row>
    <row r="489" spans="1:5" x14ac:dyDescent="0.35">
      <c r="A489" t="s">
        <v>147</v>
      </c>
      <c r="B489">
        <v>2018</v>
      </c>
      <c r="C489" s="11">
        <v>44</v>
      </c>
      <c r="D489" s="8">
        <v>0.95149253731343286</v>
      </c>
      <c r="E489" s="8">
        <v>1.4931110752071134E-3</v>
      </c>
    </row>
    <row r="490" spans="1:5" x14ac:dyDescent="0.35">
      <c r="A490" t="s">
        <v>148</v>
      </c>
      <c r="B490">
        <v>2018</v>
      </c>
      <c r="C490" s="11">
        <v>45</v>
      </c>
      <c r="D490" s="8">
        <v>0.9347368421052632</v>
      </c>
      <c r="E490" s="8">
        <v>7.2850898494414762E-3</v>
      </c>
    </row>
    <row r="491" spans="1:5" x14ac:dyDescent="0.35">
      <c r="A491" t="s">
        <v>98</v>
      </c>
      <c r="B491">
        <v>2018</v>
      </c>
      <c r="C491" s="11">
        <v>46</v>
      </c>
      <c r="D491" s="8">
        <v>0.98021415270018619</v>
      </c>
      <c r="E491" s="8">
        <v>2.1608136247950344E-2</v>
      </c>
    </row>
    <row r="492" spans="1:5" x14ac:dyDescent="0.35">
      <c r="A492" t="s">
        <v>135</v>
      </c>
      <c r="B492">
        <v>2018</v>
      </c>
      <c r="C492" s="11">
        <v>47</v>
      </c>
      <c r="D492" s="8">
        <v>0.97826086956521741</v>
      </c>
      <c r="E492" s="8">
        <v>1.3811693900836041E-3</v>
      </c>
    </row>
    <row r="493" spans="1:5" x14ac:dyDescent="0.35">
      <c r="A493" t="s">
        <v>108</v>
      </c>
      <c r="B493">
        <v>2018</v>
      </c>
      <c r="C493" s="11">
        <v>48</v>
      </c>
      <c r="D493" s="8">
        <v>0.90875444839857655</v>
      </c>
      <c r="E493" s="8">
        <v>2.0847367593249309E-2</v>
      </c>
    </row>
    <row r="494" spans="1:5" x14ac:dyDescent="0.35">
      <c r="A494" t="s">
        <v>100</v>
      </c>
      <c r="B494">
        <v>2018</v>
      </c>
      <c r="C494" s="11">
        <v>49</v>
      </c>
      <c r="D494" s="8">
        <v>0.95620678300954887</v>
      </c>
      <c r="E494" s="8">
        <v>7.5934871533299333E-3</v>
      </c>
    </row>
    <row r="495" spans="1:5" x14ac:dyDescent="0.35">
      <c r="A495" t="s">
        <v>105</v>
      </c>
      <c r="B495">
        <v>2018</v>
      </c>
      <c r="C495" s="11">
        <v>50</v>
      </c>
      <c r="D495" s="8">
        <v>0.80322248885841618</v>
      </c>
      <c r="E495" s="8">
        <v>5.8610428517178259E-3</v>
      </c>
    </row>
    <row r="496" spans="1:5" x14ac:dyDescent="0.35">
      <c r="A496" t="s">
        <v>106</v>
      </c>
      <c r="B496">
        <v>2018</v>
      </c>
      <c r="C496" s="11">
        <v>51</v>
      </c>
      <c r="D496" s="8">
        <v>0.85832414553472991</v>
      </c>
      <c r="E496" s="8">
        <v>8.3114804423625871E-3</v>
      </c>
    </row>
    <row r="497" spans="1:5" x14ac:dyDescent="0.35">
      <c r="A497" t="s">
        <v>102</v>
      </c>
      <c r="B497">
        <v>2018</v>
      </c>
      <c r="C497" s="11">
        <v>52</v>
      </c>
      <c r="D497" s="8">
        <v>0.83813327727559384</v>
      </c>
      <c r="E497" s="8">
        <v>6.7115987770414503E-3</v>
      </c>
    </row>
    <row r="498" spans="1:5" x14ac:dyDescent="0.35">
      <c r="A498" t="s">
        <v>149</v>
      </c>
      <c r="B498">
        <v>2018</v>
      </c>
      <c r="C498" s="11">
        <v>53</v>
      </c>
      <c r="D498" s="8">
        <v>0.94955932203389826</v>
      </c>
      <c r="E498" s="8">
        <v>1.5314667090285932E-2</v>
      </c>
    </row>
    <row r="499" spans="1:5" x14ac:dyDescent="0.35">
      <c r="A499" t="s">
        <v>101</v>
      </c>
      <c r="B499">
        <v>2018</v>
      </c>
      <c r="C499" s="11">
        <v>54</v>
      </c>
      <c r="D499" s="8">
        <v>0.90287574606619647</v>
      </c>
      <c r="E499" s="8">
        <v>1.8282895820230427E-3</v>
      </c>
    </row>
    <row r="500" spans="1:5" x14ac:dyDescent="0.35">
      <c r="A500" t="s">
        <v>110</v>
      </c>
      <c r="B500">
        <v>2018</v>
      </c>
      <c r="C500" s="11">
        <v>55</v>
      </c>
      <c r="D500" s="8">
        <v>0.82539296052809563</v>
      </c>
      <c r="E500" s="8">
        <v>9.3273827308037044E-3</v>
      </c>
    </row>
    <row r="501" spans="1:5" x14ac:dyDescent="0.35">
      <c r="A501" t="s">
        <v>111</v>
      </c>
      <c r="B501">
        <v>2018</v>
      </c>
      <c r="C501" s="11">
        <v>56</v>
      </c>
      <c r="D501" s="8">
        <v>0.86535703149360776</v>
      </c>
      <c r="E501" s="8">
        <v>1.2924119259758678E-2</v>
      </c>
    </row>
    <row r="502" spans="1:5" x14ac:dyDescent="0.35">
      <c r="A502" s="11" t="s">
        <v>71</v>
      </c>
      <c r="B502">
        <v>2017</v>
      </c>
      <c r="C502" s="11">
        <v>1</v>
      </c>
      <c r="D502" s="13">
        <v>0.93333333333333335</v>
      </c>
      <c r="E502" s="13">
        <v>7.7881619937694704E-3</v>
      </c>
    </row>
    <row r="503" spans="1:5" x14ac:dyDescent="0.35">
      <c r="A503" s="11" t="s">
        <v>150</v>
      </c>
      <c r="B503">
        <v>2017</v>
      </c>
      <c r="C503" s="11">
        <v>2</v>
      </c>
      <c r="D503" s="13">
        <v>0.77692307692307694</v>
      </c>
      <c r="E503" s="13">
        <v>9.0445269016697583E-2</v>
      </c>
    </row>
    <row r="504" spans="1:5" x14ac:dyDescent="0.35">
      <c r="A504" s="11" t="s">
        <v>75</v>
      </c>
      <c r="B504">
        <v>2017</v>
      </c>
      <c r="C504" s="11">
        <v>3</v>
      </c>
      <c r="D504" s="13">
        <v>1</v>
      </c>
      <c r="E504" s="13">
        <v>6.5617379738417206E-2</v>
      </c>
    </row>
    <row r="505" spans="1:5" x14ac:dyDescent="0.35">
      <c r="A505" s="11" t="s">
        <v>67</v>
      </c>
      <c r="B505">
        <v>2017</v>
      </c>
      <c r="C505" s="11">
        <v>4</v>
      </c>
      <c r="D505" s="13">
        <v>1</v>
      </c>
      <c r="E505" s="13">
        <v>2.8089887640449441E-4</v>
      </c>
    </row>
    <row r="506" spans="1:5" x14ac:dyDescent="0.35">
      <c r="A506" s="11" t="s">
        <v>77</v>
      </c>
      <c r="B506">
        <v>2017</v>
      </c>
      <c r="C506" s="11">
        <v>5</v>
      </c>
      <c r="D506" s="13">
        <v>0.86848072562358281</v>
      </c>
      <c r="E506" s="13">
        <v>5.6640123298227589E-2</v>
      </c>
    </row>
    <row r="507" spans="1:5" x14ac:dyDescent="0.35">
      <c r="A507" s="11" t="s">
        <v>99</v>
      </c>
      <c r="B507">
        <v>2017</v>
      </c>
      <c r="C507" s="11">
        <v>6</v>
      </c>
      <c r="D507" s="13">
        <v>0.88888888888888884</v>
      </c>
      <c r="E507" s="13">
        <v>6.3897763578274762E-4</v>
      </c>
    </row>
    <row r="508" spans="1:5" x14ac:dyDescent="0.35">
      <c r="A508" s="11" t="s">
        <v>62</v>
      </c>
      <c r="B508">
        <v>2017</v>
      </c>
      <c r="C508" s="11">
        <v>7</v>
      </c>
      <c r="D508" s="13">
        <v>0.92406692406692403</v>
      </c>
      <c r="E508" s="13">
        <v>5.4522489649849133E-2</v>
      </c>
    </row>
    <row r="509" spans="1:5" x14ac:dyDescent="0.35">
      <c r="A509" s="11" t="s">
        <v>86</v>
      </c>
      <c r="B509">
        <v>2017</v>
      </c>
      <c r="C509" s="11">
        <v>8</v>
      </c>
      <c r="D509" s="13">
        <v>0.88157894736842102</v>
      </c>
      <c r="E509" s="13">
        <v>1.3316979148414228E-2</v>
      </c>
    </row>
    <row r="510" spans="1:5" x14ac:dyDescent="0.35">
      <c r="A510" s="11" t="s">
        <v>96</v>
      </c>
      <c r="B510">
        <v>2017</v>
      </c>
      <c r="C510" s="11">
        <v>9</v>
      </c>
      <c r="D510" s="13">
        <v>0.7717996289424861</v>
      </c>
      <c r="E510" s="13">
        <v>8.5015772870662462E-2</v>
      </c>
    </row>
    <row r="511" spans="1:5" x14ac:dyDescent="0.35">
      <c r="A511" s="11" t="s">
        <v>48</v>
      </c>
      <c r="B511">
        <v>2017</v>
      </c>
      <c r="C511" s="11">
        <v>10</v>
      </c>
      <c r="D511" s="13">
        <v>1</v>
      </c>
      <c r="E511" s="13">
        <v>3.546728143287817E-4</v>
      </c>
    </row>
    <row r="512" spans="1:5" x14ac:dyDescent="0.35">
      <c r="A512" s="11" t="s">
        <v>146</v>
      </c>
      <c r="B512">
        <v>2017</v>
      </c>
      <c r="C512" s="11">
        <v>11</v>
      </c>
      <c r="D512" s="13">
        <v>1</v>
      </c>
      <c r="E512" s="13">
        <v>3.0014612377078313E-3</v>
      </c>
    </row>
    <row r="513" spans="1:5" x14ac:dyDescent="0.35">
      <c r="A513" s="11" t="s">
        <v>61</v>
      </c>
      <c r="B513">
        <v>2017</v>
      </c>
      <c r="C513" s="11">
        <v>12</v>
      </c>
      <c r="D513" s="13">
        <v>1</v>
      </c>
      <c r="E513" s="13">
        <v>9.6767950454809367E-4</v>
      </c>
    </row>
    <row r="514" spans="1:5" x14ac:dyDescent="0.35">
      <c r="A514" s="11" t="s">
        <v>132</v>
      </c>
      <c r="B514">
        <v>2017</v>
      </c>
      <c r="C514" s="11">
        <v>13</v>
      </c>
      <c r="D514" s="13">
        <v>0.98837959974176892</v>
      </c>
      <c r="E514" s="13">
        <v>5.8119465706138379E-2</v>
      </c>
    </row>
    <row r="515" spans="1:5" x14ac:dyDescent="0.35">
      <c r="A515" s="11" t="s">
        <v>144</v>
      </c>
      <c r="B515">
        <v>2017</v>
      </c>
      <c r="C515" s="11">
        <v>14</v>
      </c>
      <c r="D515" s="12">
        <v>0.93838862559241709</v>
      </c>
      <c r="E515" s="12">
        <v>6.464262737048497E-3</v>
      </c>
    </row>
    <row r="516" spans="1:5" x14ac:dyDescent="0.35">
      <c r="A516" s="11" t="s">
        <v>66</v>
      </c>
      <c r="B516">
        <v>2017</v>
      </c>
      <c r="C516" s="11">
        <v>15</v>
      </c>
      <c r="D516" s="12">
        <v>1</v>
      </c>
      <c r="E516" s="12">
        <v>5.7966213978138459E-4</v>
      </c>
    </row>
    <row r="517" spans="1:5" x14ac:dyDescent="0.35">
      <c r="A517" s="11" t="s">
        <v>74</v>
      </c>
      <c r="B517">
        <v>2017</v>
      </c>
      <c r="C517" s="11">
        <v>16</v>
      </c>
      <c r="D517" s="12">
        <v>0.98313659359190553</v>
      </c>
      <c r="E517" s="12">
        <v>1.403949050617927E-2</v>
      </c>
    </row>
    <row r="518" spans="1:5" x14ac:dyDescent="0.35">
      <c r="A518" s="11" t="s">
        <v>123</v>
      </c>
      <c r="B518">
        <v>2017</v>
      </c>
      <c r="C518" s="11">
        <v>17</v>
      </c>
      <c r="D518" s="12">
        <v>1</v>
      </c>
      <c r="E518" s="12">
        <v>1.3114754098360656E-3</v>
      </c>
    </row>
    <row r="519" spans="1:5" x14ac:dyDescent="0.35">
      <c r="A519" s="11" t="s">
        <v>114</v>
      </c>
      <c r="B519">
        <v>2017</v>
      </c>
      <c r="C519" s="11">
        <v>18</v>
      </c>
      <c r="D519" s="8">
        <v>1</v>
      </c>
      <c r="E519" s="8">
        <v>3.1680658957706321E-4</v>
      </c>
    </row>
    <row r="520" spans="1:5" x14ac:dyDescent="0.35">
      <c r="A520" s="11" t="s">
        <v>83</v>
      </c>
      <c r="B520">
        <v>2017</v>
      </c>
      <c r="C520" s="11">
        <v>19</v>
      </c>
      <c r="D520" s="8">
        <v>0.9107142857142857</v>
      </c>
      <c r="E520" s="8">
        <v>4.4324837739433279E-3</v>
      </c>
    </row>
    <row r="521" spans="1:5" x14ac:dyDescent="0.35">
      <c r="A521" s="11" t="s">
        <v>81</v>
      </c>
      <c r="B521">
        <v>2017</v>
      </c>
      <c r="C521" s="11">
        <v>20</v>
      </c>
      <c r="D521" s="8">
        <v>0.98958333333333337</v>
      </c>
      <c r="E521" s="8">
        <v>1.7680534836178794E-3</v>
      </c>
    </row>
    <row r="522" spans="1:5" x14ac:dyDescent="0.35">
      <c r="A522" s="11" t="s">
        <v>137</v>
      </c>
      <c r="B522">
        <v>2017</v>
      </c>
      <c r="C522" s="11">
        <v>21</v>
      </c>
      <c r="D522" s="8">
        <v>0.99135446685878958</v>
      </c>
      <c r="E522" s="8">
        <v>6.2244385448805336E-3</v>
      </c>
    </row>
    <row r="523" spans="1:5" x14ac:dyDescent="0.35">
      <c r="A523" s="11" t="s">
        <v>143</v>
      </c>
      <c r="B523">
        <v>2017</v>
      </c>
      <c r="C523" s="11">
        <v>22</v>
      </c>
      <c r="D523" s="8">
        <v>1</v>
      </c>
      <c r="E523" s="8">
        <v>8.2871167208516605E-4</v>
      </c>
    </row>
    <row r="524" spans="1:5" x14ac:dyDescent="0.35">
      <c r="A524" s="11" t="s">
        <v>151</v>
      </c>
      <c r="B524">
        <v>2017</v>
      </c>
      <c r="C524" s="11">
        <v>23</v>
      </c>
      <c r="D524" s="8">
        <v>0.96026490066225167</v>
      </c>
      <c r="E524" s="8">
        <v>2.2509093077335879E-3</v>
      </c>
    </row>
    <row r="525" spans="1:5" x14ac:dyDescent="0.35">
      <c r="A525" s="11" t="s">
        <v>55</v>
      </c>
      <c r="B525">
        <v>2017</v>
      </c>
      <c r="C525" s="11">
        <v>24</v>
      </c>
      <c r="D525" s="8">
        <v>0.96486486486486489</v>
      </c>
      <c r="E525" s="8">
        <v>5.4315115749915596E-3</v>
      </c>
    </row>
    <row r="526" spans="1:5" x14ac:dyDescent="0.35">
      <c r="A526" s="11" t="s">
        <v>58</v>
      </c>
      <c r="B526">
        <v>2017</v>
      </c>
      <c r="C526" s="11">
        <v>25</v>
      </c>
      <c r="D526" s="8">
        <v>0.87931034482758619</v>
      </c>
      <c r="E526" s="8">
        <v>4.9057397154670963E-4</v>
      </c>
    </row>
    <row r="527" spans="1:5" x14ac:dyDescent="0.35">
      <c r="A527" s="11" t="s">
        <v>152</v>
      </c>
      <c r="B527">
        <v>2017</v>
      </c>
      <c r="C527" s="11">
        <v>26</v>
      </c>
      <c r="D527" s="8">
        <v>0.9540481400437637</v>
      </c>
      <c r="E527" s="8">
        <v>6.1251021967270239E-3</v>
      </c>
    </row>
    <row r="528" spans="1:5" x14ac:dyDescent="0.35">
      <c r="A528" s="11" t="s">
        <v>134</v>
      </c>
      <c r="B528">
        <v>2017</v>
      </c>
      <c r="C528" s="11">
        <v>27</v>
      </c>
      <c r="D528" s="8">
        <v>0.96694214876033058</v>
      </c>
      <c r="E528" s="8">
        <v>1.3961806957826111E-3</v>
      </c>
    </row>
    <row r="529" spans="1:5" x14ac:dyDescent="0.35">
      <c r="A529" s="11" t="s">
        <v>56</v>
      </c>
      <c r="B529">
        <v>2017</v>
      </c>
      <c r="C529" s="11">
        <v>28</v>
      </c>
      <c r="D529" s="8">
        <v>0.91304347826086951</v>
      </c>
      <c r="E529" s="8">
        <v>5.1374261494991009E-4</v>
      </c>
    </row>
    <row r="530" spans="1:5" x14ac:dyDescent="0.35">
      <c r="A530" s="11" t="s">
        <v>103</v>
      </c>
      <c r="B530">
        <v>2017</v>
      </c>
      <c r="C530" s="11">
        <v>29</v>
      </c>
      <c r="D530" s="8">
        <v>0.638259526261586</v>
      </c>
      <c r="E530" s="8">
        <v>4.1639418077339535E-2</v>
      </c>
    </row>
    <row r="531" spans="1:5" x14ac:dyDescent="0.35">
      <c r="A531" s="11" t="s">
        <v>87</v>
      </c>
      <c r="B531">
        <v>2017</v>
      </c>
      <c r="C531" s="11">
        <v>30</v>
      </c>
      <c r="D531" s="8">
        <v>0.9664536741214057</v>
      </c>
      <c r="E531" s="8">
        <v>6.3268750694844503E-3</v>
      </c>
    </row>
    <row r="532" spans="1:5" x14ac:dyDescent="0.35">
      <c r="A532" s="11" t="s">
        <v>76</v>
      </c>
      <c r="B532">
        <v>2017</v>
      </c>
      <c r="C532" s="11">
        <v>31</v>
      </c>
      <c r="D532" s="8">
        <v>0.88888888888888884</v>
      </c>
      <c r="E532" s="8">
        <v>1.1421307193437218E-3</v>
      </c>
    </row>
    <row r="533" spans="1:5" x14ac:dyDescent="0.35">
      <c r="A533" s="11" t="s">
        <v>79</v>
      </c>
      <c r="B533">
        <v>2017</v>
      </c>
      <c r="C533" s="11">
        <v>32</v>
      </c>
      <c r="D533" s="8">
        <v>0.97142857142857142</v>
      </c>
      <c r="E533" s="8">
        <v>3.1070297781679375E-3</v>
      </c>
    </row>
    <row r="534" spans="1:5" x14ac:dyDescent="0.35">
      <c r="A534" s="11" t="s">
        <v>140</v>
      </c>
      <c r="B534">
        <v>2017</v>
      </c>
      <c r="C534" s="11">
        <v>33</v>
      </c>
      <c r="D534" s="8">
        <v>0.98154981549815501</v>
      </c>
      <c r="E534" s="8">
        <v>5.3194099576998949E-3</v>
      </c>
    </row>
    <row r="535" spans="1:5" x14ac:dyDescent="0.35">
      <c r="A535" s="11" t="s">
        <v>93</v>
      </c>
      <c r="B535">
        <v>2017</v>
      </c>
      <c r="C535" s="11">
        <v>34</v>
      </c>
      <c r="D535" s="8">
        <v>0.74846625766871167</v>
      </c>
      <c r="E535" s="8">
        <v>1.5147009627179125E-3</v>
      </c>
    </row>
    <row r="536" spans="1:5" x14ac:dyDescent="0.35">
      <c r="A536" s="11" t="s">
        <v>63</v>
      </c>
      <c r="B536">
        <v>2017</v>
      </c>
      <c r="C536" s="11">
        <v>35</v>
      </c>
      <c r="D536" s="8">
        <v>0.99005681818181823</v>
      </c>
      <c r="E536" s="8">
        <v>6.4755282062602905E-3</v>
      </c>
    </row>
    <row r="537" spans="1:5" x14ac:dyDescent="0.35">
      <c r="A537" s="11" t="s">
        <v>125</v>
      </c>
      <c r="B537">
        <v>2017</v>
      </c>
      <c r="C537" s="11">
        <v>36</v>
      </c>
      <c r="D537" s="8">
        <v>0.93166405842462185</v>
      </c>
      <c r="E537" s="8">
        <v>1.604318353000251E-2</v>
      </c>
    </row>
    <row r="538" spans="1:5" x14ac:dyDescent="0.35">
      <c r="A538" s="11" t="s">
        <v>141</v>
      </c>
      <c r="B538">
        <v>2017</v>
      </c>
      <c r="C538" s="11">
        <v>37</v>
      </c>
      <c r="D538" s="8">
        <v>0.97478991596638653</v>
      </c>
      <c r="E538" s="8">
        <v>3.8433278697790085E-3</v>
      </c>
    </row>
    <row r="539" spans="1:5" x14ac:dyDescent="0.35">
      <c r="A539" s="11" t="s">
        <v>97</v>
      </c>
      <c r="B539">
        <v>2017</v>
      </c>
      <c r="C539" s="11">
        <v>38</v>
      </c>
      <c r="D539" s="8">
        <v>0.88888888888888884</v>
      </c>
      <c r="E539" s="8">
        <v>2.8431856006903779E-3</v>
      </c>
    </row>
    <row r="540" spans="1:5" x14ac:dyDescent="0.35">
      <c r="A540" s="11" t="s">
        <v>147</v>
      </c>
      <c r="B540">
        <v>2017</v>
      </c>
      <c r="C540" s="11">
        <v>39</v>
      </c>
      <c r="D540" s="8">
        <v>0.94025157232704404</v>
      </c>
      <c r="E540" s="8">
        <v>2.2367902762928365E-3</v>
      </c>
    </row>
    <row r="541" spans="1:5" x14ac:dyDescent="0.35">
      <c r="A541" s="11" t="s">
        <v>72</v>
      </c>
      <c r="B541">
        <v>2017</v>
      </c>
      <c r="C541" s="11">
        <v>40</v>
      </c>
      <c r="D541" s="8">
        <v>0.99382716049382713</v>
      </c>
      <c r="E541" s="8">
        <v>1.0930657796190462E-3</v>
      </c>
    </row>
    <row r="542" spans="1:5" x14ac:dyDescent="0.35">
      <c r="A542" s="11" t="s">
        <v>60</v>
      </c>
      <c r="B542">
        <v>2017</v>
      </c>
      <c r="C542" s="11">
        <v>41</v>
      </c>
      <c r="D542" s="8">
        <v>0.95926412614980294</v>
      </c>
      <c r="E542" s="8">
        <v>5.0722512530660124E-3</v>
      </c>
    </row>
    <row r="543" spans="1:5" x14ac:dyDescent="0.35">
      <c r="A543" s="11" t="s">
        <v>92</v>
      </c>
      <c r="B543">
        <v>2017</v>
      </c>
      <c r="C543" s="11">
        <v>42</v>
      </c>
      <c r="D543" s="8">
        <v>0.67164179104477617</v>
      </c>
      <c r="E543" s="8">
        <v>8.8240910856924606E-4</v>
      </c>
    </row>
    <row r="544" spans="1:5" x14ac:dyDescent="0.35">
      <c r="A544" s="11" t="s">
        <v>95</v>
      </c>
      <c r="B544">
        <v>2017</v>
      </c>
      <c r="C544" s="11">
        <v>43</v>
      </c>
      <c r="D544" s="8">
        <v>0.97368421052631582</v>
      </c>
      <c r="E544" s="8">
        <v>2.5692719986231652E-3</v>
      </c>
    </row>
    <row r="545" spans="1:5" x14ac:dyDescent="0.35">
      <c r="A545" s="11" t="s">
        <v>100</v>
      </c>
      <c r="B545">
        <v>2017</v>
      </c>
      <c r="C545" s="11">
        <v>44</v>
      </c>
      <c r="D545" s="8">
        <v>0.93347487615003544</v>
      </c>
      <c r="E545" s="8">
        <v>1.5332779920894575E-2</v>
      </c>
    </row>
    <row r="546" spans="1:5" x14ac:dyDescent="0.35">
      <c r="A546" s="11" t="s">
        <v>98</v>
      </c>
      <c r="B546">
        <v>2017</v>
      </c>
      <c r="C546" s="11">
        <v>45</v>
      </c>
      <c r="D546" s="8">
        <v>0.98410624863923357</v>
      </c>
      <c r="E546" s="8">
        <v>2.2533594336429066E-2</v>
      </c>
    </row>
    <row r="547" spans="1:5" x14ac:dyDescent="0.35">
      <c r="A547" s="11" t="s">
        <v>148</v>
      </c>
      <c r="B547">
        <v>2017</v>
      </c>
      <c r="C547" s="11">
        <v>46</v>
      </c>
      <c r="D547" s="8">
        <v>0.99136577708006279</v>
      </c>
      <c r="E547" s="8">
        <v>6.1851265669149134E-3</v>
      </c>
    </row>
    <row r="548" spans="1:5" x14ac:dyDescent="0.35">
      <c r="A548" s="11" t="s">
        <v>135</v>
      </c>
      <c r="B548">
        <v>2017</v>
      </c>
      <c r="C548" s="11">
        <v>47</v>
      </c>
      <c r="D548" s="8">
        <v>0.97222222222222221</v>
      </c>
      <c r="E548" s="8">
        <v>1.347259551593917E-3</v>
      </c>
    </row>
    <row r="549" spans="1:5" x14ac:dyDescent="0.35">
      <c r="A549" s="11" t="s">
        <v>80</v>
      </c>
      <c r="B549">
        <v>2017</v>
      </c>
      <c r="C549" s="11">
        <v>48</v>
      </c>
      <c r="D549" s="8">
        <v>0.94447223611805908</v>
      </c>
      <c r="E549" s="8">
        <v>5.8509314952217882E-3</v>
      </c>
    </row>
    <row r="550" spans="1:5" x14ac:dyDescent="0.35">
      <c r="A550" s="11" t="s">
        <v>108</v>
      </c>
      <c r="B550">
        <v>2017</v>
      </c>
      <c r="C550" s="11">
        <v>49</v>
      </c>
      <c r="D550" s="8">
        <v>0.90874609549308349</v>
      </c>
      <c r="E550" s="8">
        <v>2.6107622586996285E-2</v>
      </c>
    </row>
    <row r="551" spans="1:5" x14ac:dyDescent="0.35">
      <c r="A551" s="11" t="s">
        <v>105</v>
      </c>
      <c r="B551">
        <v>2017</v>
      </c>
      <c r="C551" s="11">
        <v>50</v>
      </c>
      <c r="D551" s="8">
        <v>0.74531155474894129</v>
      </c>
      <c r="E551" s="8">
        <v>3.4515591525827185E-3</v>
      </c>
    </row>
    <row r="552" spans="1:5" x14ac:dyDescent="0.35">
      <c r="A552" s="11" t="s">
        <v>102</v>
      </c>
      <c r="B552">
        <v>2017</v>
      </c>
      <c r="C552" s="11">
        <v>51</v>
      </c>
      <c r="D552" s="8">
        <v>0.70419011882426519</v>
      </c>
      <c r="E552" s="8">
        <v>8.6693763362351746E-3</v>
      </c>
    </row>
    <row r="553" spans="1:5" x14ac:dyDescent="0.35">
      <c r="A553" s="11" t="s">
        <v>153</v>
      </c>
      <c r="B553">
        <v>2017</v>
      </c>
      <c r="C553" s="11">
        <v>52</v>
      </c>
      <c r="D553" s="8">
        <v>0.8874053682037164</v>
      </c>
      <c r="E553" s="8"/>
    </row>
    <row r="554" spans="1:5" x14ac:dyDescent="0.35">
      <c r="A554" s="11" t="s">
        <v>101</v>
      </c>
      <c r="B554">
        <v>2017</v>
      </c>
      <c r="C554" s="11">
        <v>53</v>
      </c>
      <c r="D554" s="8">
        <v>0.87341128622267417</v>
      </c>
      <c r="E554" s="8">
        <v>1.8651833701881682E-3</v>
      </c>
    </row>
    <row r="555" spans="1:5" x14ac:dyDescent="0.35">
      <c r="A555" s="11" t="s">
        <v>110</v>
      </c>
      <c r="B555">
        <v>2017</v>
      </c>
      <c r="C555" s="11">
        <v>54</v>
      </c>
      <c r="D555" s="8">
        <v>0.90620347394540945</v>
      </c>
      <c r="E555" s="8">
        <v>9.7103261462293707E-3</v>
      </c>
    </row>
    <row r="556" spans="1:5" x14ac:dyDescent="0.35">
      <c r="A556" s="11" t="s">
        <v>154</v>
      </c>
      <c r="B556">
        <v>2017</v>
      </c>
      <c r="C556" s="11">
        <v>55</v>
      </c>
      <c r="D556" s="8">
        <v>0.73935820483997539</v>
      </c>
      <c r="E556" s="8">
        <v>9.1019917665284764E-3</v>
      </c>
    </row>
    <row r="557" spans="1:5" x14ac:dyDescent="0.35">
      <c r="A557" t="s">
        <v>111</v>
      </c>
      <c r="B557">
        <v>2017</v>
      </c>
      <c r="C557" s="11">
        <v>56</v>
      </c>
      <c r="D557" s="8">
        <v>0.77402099602391372</v>
      </c>
      <c r="E557" s="8">
        <v>6.7487439853670074E-3</v>
      </c>
    </row>
  </sheetData>
  <sortState xmlns:xlrd2="http://schemas.microsoft.com/office/spreadsheetml/2017/richdata2" ref="A9:E557">
    <sortCondition descending="1" ref="B9:B557"/>
    <sortCondition ref="C9:C55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"/>
  <sheetViews>
    <sheetView workbookViewId="0">
      <selection activeCell="B6" sqref="B6"/>
    </sheetView>
  </sheetViews>
  <sheetFormatPr defaultColWidth="9.1796875" defaultRowHeight="14.5" x14ac:dyDescent="0.35"/>
  <cols>
    <col min="1" max="1" width="23" bestFit="1" customWidth="1"/>
    <col min="2" max="2" width="20.54296875" customWidth="1"/>
    <col min="3" max="3" width="19.54296875" customWidth="1"/>
    <col min="4" max="4" width="19" customWidth="1"/>
    <col min="5" max="5" width="13.1796875" style="10" bestFit="1" customWidth="1"/>
    <col min="6" max="6" width="13.1796875" bestFit="1" customWidth="1"/>
    <col min="7" max="7" width="13.54296875" bestFit="1" customWidth="1"/>
    <col min="8" max="8" width="13.453125" bestFit="1" customWidth="1"/>
    <col min="9" max="9" width="14.1796875" bestFit="1" customWidth="1"/>
    <col min="10" max="12" width="13.1796875" bestFit="1" customWidth="1"/>
    <col min="13" max="13" width="13.54296875" bestFit="1" customWidth="1"/>
    <col min="14" max="14" width="12.81640625" bestFit="1" customWidth="1"/>
    <col min="15" max="15" width="13.54296875" bestFit="1" customWidth="1"/>
    <col min="16" max="16" width="12.81640625" bestFit="1" customWidth="1"/>
    <col min="17" max="17" width="13.54296875" bestFit="1" customWidth="1"/>
    <col min="18" max="19" width="13.453125" bestFit="1" customWidth="1"/>
    <col min="20" max="20" width="13.81640625" bestFit="1" customWidth="1"/>
    <col min="21" max="21" width="14.1796875" bestFit="1" customWidth="1"/>
    <col min="22" max="23" width="13.1796875" bestFit="1" customWidth="1"/>
    <col min="24" max="24" width="13.54296875" bestFit="1" customWidth="1"/>
    <col min="25" max="25" width="13.1796875" bestFit="1" customWidth="1"/>
    <col min="26" max="26" width="12.81640625" bestFit="1" customWidth="1"/>
    <col min="27" max="27" width="13.54296875" bestFit="1" customWidth="1"/>
    <col min="28" max="28" width="12.81640625" bestFit="1" customWidth="1"/>
    <col min="29" max="29" width="13.54296875" bestFit="1" customWidth="1"/>
    <col min="30" max="30" width="13.81640625" bestFit="1" customWidth="1"/>
    <col min="31" max="32" width="13.453125" bestFit="1" customWidth="1"/>
    <col min="33" max="33" width="14.1796875" bestFit="1" customWidth="1"/>
    <col min="34" max="34" width="13.1796875" bestFit="1" customWidth="1"/>
    <col min="35" max="35" width="13.54296875" bestFit="1" customWidth="1"/>
    <col min="36" max="37" width="13.1796875" bestFit="1" customWidth="1"/>
    <col min="38" max="38" width="13.54296875" bestFit="1" customWidth="1"/>
    <col min="39" max="40" width="12.81640625" bestFit="1" customWidth="1"/>
    <col min="41" max="41" width="13.54296875" bestFit="1" customWidth="1"/>
    <col min="42" max="42" width="13.453125" bestFit="1" customWidth="1"/>
    <col min="43" max="43" width="13.81640625" bestFit="1" customWidth="1"/>
    <col min="44" max="44" width="13.453125" bestFit="1" customWidth="1"/>
    <col min="45" max="45" width="14.1796875" bestFit="1" customWidth="1"/>
    <col min="46" max="47" width="13.1796875" bestFit="1" customWidth="1"/>
    <col min="48" max="48" width="13.54296875" bestFit="1" customWidth="1"/>
    <col min="49" max="49" width="13.1796875" bestFit="1" customWidth="1"/>
    <col min="50" max="50" width="12.81640625" bestFit="1" customWidth="1"/>
    <col min="51" max="51" width="13.54296875" bestFit="1" customWidth="1"/>
    <col min="52" max="52" width="12.81640625" bestFit="1" customWidth="1"/>
    <col min="53" max="53" width="13.54296875" bestFit="1" customWidth="1"/>
    <col min="54" max="54" width="13.453125" bestFit="1" customWidth="1"/>
    <col min="55" max="55" width="13.81640625" bestFit="1" customWidth="1"/>
    <col min="56" max="56" width="13.453125" bestFit="1" customWidth="1"/>
    <col min="57" max="57" width="14.1796875" bestFit="1" customWidth="1"/>
    <col min="58" max="59" width="13.1796875" bestFit="1" customWidth="1"/>
    <col min="60" max="60" width="13.54296875" bestFit="1" customWidth="1"/>
    <col min="61" max="61" width="13.1796875" bestFit="1" customWidth="1"/>
    <col min="62" max="62" width="12.81640625" bestFit="1" customWidth="1"/>
    <col min="63" max="63" width="13.54296875" bestFit="1" customWidth="1"/>
    <col min="64" max="64" width="12.81640625" bestFit="1" customWidth="1"/>
    <col min="65" max="65" width="13.54296875" bestFit="1" customWidth="1"/>
    <col min="66" max="67" width="13.453125" bestFit="1" customWidth="1"/>
    <col min="68" max="68" width="13.81640625" bestFit="1" customWidth="1"/>
    <col min="69" max="69" width="14.1796875" bestFit="1" customWidth="1"/>
    <col min="70" max="71" width="13.1796875" bestFit="1" customWidth="1"/>
    <col min="72" max="72" width="13.54296875" bestFit="1" customWidth="1"/>
    <col min="73" max="73" width="13.1796875" bestFit="1" customWidth="1"/>
    <col min="74" max="74" width="13.54296875" bestFit="1" customWidth="1"/>
    <col min="75" max="76" width="12.81640625" bestFit="1" customWidth="1"/>
    <col min="77" max="77" width="13.54296875" bestFit="1" customWidth="1"/>
    <col min="78" max="78" width="13.453125" bestFit="1" customWidth="1"/>
    <col min="79" max="79" width="13.81640625" bestFit="1" customWidth="1"/>
    <col min="80" max="80" width="13.453125" bestFit="1" customWidth="1"/>
    <col min="81" max="81" width="14.1796875" bestFit="1" customWidth="1"/>
    <col min="82" max="83" width="13.1796875" bestFit="1" customWidth="1"/>
    <col min="84" max="84" width="13.54296875" bestFit="1" customWidth="1"/>
    <col min="85" max="85" width="13.1796875" bestFit="1" customWidth="1"/>
    <col min="86" max="86" width="12.81640625" bestFit="1" customWidth="1"/>
    <col min="87" max="87" width="13.54296875" bestFit="1" customWidth="1"/>
    <col min="88" max="88" width="12.81640625" bestFit="1" customWidth="1"/>
  </cols>
  <sheetData>
    <row r="1" spans="1:6" s="1" customFormat="1" x14ac:dyDescent="0.35">
      <c r="A1" s="1" t="s">
        <v>0</v>
      </c>
      <c r="B1" t="s">
        <v>155</v>
      </c>
      <c r="E1" s="38"/>
    </row>
    <row r="2" spans="1:6" s="1" customFormat="1" x14ac:dyDescent="0.35">
      <c r="A2" s="1" t="s">
        <v>2</v>
      </c>
      <c r="B2" s="1" t="s">
        <v>3</v>
      </c>
      <c r="E2" s="38"/>
    </row>
    <row r="3" spans="1:6" s="1" customFormat="1" x14ac:dyDescent="0.35">
      <c r="A3" s="1" t="s">
        <v>4</v>
      </c>
      <c r="B3" s="1" t="s">
        <v>5</v>
      </c>
      <c r="E3" s="38"/>
    </row>
    <row r="4" spans="1:6" s="1" customFormat="1" x14ac:dyDescent="0.35">
      <c r="A4" s="1" t="s">
        <v>6</v>
      </c>
      <c r="B4" s="1" t="s">
        <v>7</v>
      </c>
      <c r="E4" s="38"/>
    </row>
    <row r="5" spans="1:6" s="1" customFormat="1" x14ac:dyDescent="0.35">
      <c r="A5" s="1" t="s">
        <v>8</v>
      </c>
      <c r="B5" s="1" t="s">
        <v>156</v>
      </c>
      <c r="E5" s="38"/>
    </row>
    <row r="6" spans="1:6" s="1" customFormat="1" x14ac:dyDescent="0.35">
      <c r="A6" s="1" t="s">
        <v>10</v>
      </c>
      <c r="B6" s="24" t="s">
        <v>11</v>
      </c>
      <c r="E6" s="38"/>
    </row>
    <row r="7" spans="1:6" s="1" customFormat="1" x14ac:dyDescent="0.35">
      <c r="A7" s="1" t="s">
        <v>157</v>
      </c>
      <c r="B7" s="1" t="s">
        <v>158</v>
      </c>
      <c r="E7" s="38"/>
    </row>
    <row r="8" spans="1:6" s="1" customFormat="1" x14ac:dyDescent="0.35">
      <c r="E8" s="38"/>
    </row>
    <row r="9" spans="1:6" s="9" customFormat="1" x14ac:dyDescent="0.35">
      <c r="A9" s="1" t="s">
        <v>33</v>
      </c>
      <c r="B9" s="1" t="s">
        <v>159</v>
      </c>
      <c r="C9" s="1" t="s">
        <v>160</v>
      </c>
      <c r="D9" s="1" t="s">
        <v>161</v>
      </c>
      <c r="E9" s="38" t="s">
        <v>162</v>
      </c>
      <c r="F9" s="6" t="s">
        <v>163</v>
      </c>
    </row>
    <row r="10" spans="1:6" s="9" customFormat="1" x14ac:dyDescent="0.35">
      <c r="A10" s="9" t="s">
        <v>38</v>
      </c>
      <c r="B10" s="9" t="s">
        <v>164</v>
      </c>
      <c r="C10" s="19">
        <v>17859</v>
      </c>
      <c r="D10" s="19">
        <v>1584</v>
      </c>
      <c r="F10" s="39">
        <f t="shared" ref="F10:F21" si="0">+SUM(C10:E10)</f>
        <v>19443</v>
      </c>
    </row>
    <row r="11" spans="1:6" s="9" customFormat="1" x14ac:dyDescent="0.35">
      <c r="A11" s="9" t="s">
        <v>38</v>
      </c>
      <c r="B11" s="9" t="s">
        <v>165</v>
      </c>
      <c r="C11" s="19">
        <v>76888</v>
      </c>
      <c r="D11" s="19">
        <v>6237</v>
      </c>
      <c r="F11" s="39">
        <f t="shared" si="0"/>
        <v>83125</v>
      </c>
    </row>
    <row r="12" spans="1:6" s="9" customFormat="1" x14ac:dyDescent="0.35">
      <c r="A12" s="9" t="s">
        <v>38</v>
      </c>
      <c r="B12" s="9" t="s">
        <v>166</v>
      </c>
      <c r="C12" s="19">
        <v>12319</v>
      </c>
      <c r="D12" s="19">
        <v>133</v>
      </c>
      <c r="F12" s="39">
        <f t="shared" si="0"/>
        <v>12452</v>
      </c>
    </row>
    <row r="13" spans="1:6" s="9" customFormat="1" x14ac:dyDescent="0.35">
      <c r="A13" s="9" t="s">
        <v>38</v>
      </c>
      <c r="B13" s="9" t="s">
        <v>167</v>
      </c>
      <c r="C13" s="19">
        <v>3574</v>
      </c>
      <c r="D13" s="19">
        <v>172</v>
      </c>
      <c r="F13" s="39">
        <f t="shared" si="0"/>
        <v>3746</v>
      </c>
    </row>
    <row r="14" spans="1:6" s="9" customFormat="1" x14ac:dyDescent="0.35">
      <c r="A14" s="9" t="s">
        <v>38</v>
      </c>
      <c r="B14" s="9" t="s">
        <v>168</v>
      </c>
      <c r="C14" s="19">
        <v>38148</v>
      </c>
      <c r="D14" s="19">
        <v>3168</v>
      </c>
      <c r="F14" s="39">
        <f t="shared" si="0"/>
        <v>41316</v>
      </c>
    </row>
    <row r="15" spans="1:6" s="9" customFormat="1" x14ac:dyDescent="0.35">
      <c r="A15" s="9" t="s">
        <v>38</v>
      </c>
      <c r="B15" s="17" t="s">
        <v>163</v>
      </c>
      <c r="C15" s="16">
        <v>148788</v>
      </c>
      <c r="D15" s="16">
        <v>11294</v>
      </c>
      <c r="E15" s="39">
        <v>6174</v>
      </c>
      <c r="F15" s="16">
        <f t="shared" si="0"/>
        <v>166256</v>
      </c>
    </row>
    <row r="16" spans="1:6" s="9" customFormat="1" x14ac:dyDescent="0.35">
      <c r="A16" s="9">
        <v>2024</v>
      </c>
      <c r="B16" s="9" t="s">
        <v>169</v>
      </c>
      <c r="C16" s="19">
        <v>40647</v>
      </c>
      <c r="D16" s="19">
        <v>1947</v>
      </c>
      <c r="F16" s="39">
        <f t="shared" si="0"/>
        <v>42594</v>
      </c>
    </row>
    <row r="17" spans="1:6" s="9" customFormat="1" x14ac:dyDescent="0.35">
      <c r="A17" s="9">
        <v>2024</v>
      </c>
      <c r="B17" s="9" t="s">
        <v>170</v>
      </c>
      <c r="C17" s="19">
        <v>83228</v>
      </c>
      <c r="D17" s="19">
        <v>6327</v>
      </c>
      <c r="F17" s="39">
        <f t="shared" si="0"/>
        <v>89555</v>
      </c>
    </row>
    <row r="18" spans="1:6" s="9" customFormat="1" x14ac:dyDescent="0.35">
      <c r="A18" s="9">
        <v>2024</v>
      </c>
      <c r="B18" s="9" t="s">
        <v>166</v>
      </c>
      <c r="C18" s="19">
        <v>16603</v>
      </c>
      <c r="D18" s="19">
        <v>209</v>
      </c>
      <c r="F18" s="39">
        <f t="shared" si="0"/>
        <v>16812</v>
      </c>
    </row>
    <row r="19" spans="1:6" s="9" customFormat="1" x14ac:dyDescent="0.35">
      <c r="A19" s="9">
        <v>2024</v>
      </c>
      <c r="B19" s="9" t="s">
        <v>171</v>
      </c>
      <c r="C19" s="19">
        <v>5468</v>
      </c>
      <c r="D19" s="19">
        <v>346</v>
      </c>
      <c r="F19" s="39">
        <f t="shared" si="0"/>
        <v>5814</v>
      </c>
    </row>
    <row r="20" spans="1:6" s="9" customFormat="1" x14ac:dyDescent="0.35">
      <c r="A20" s="9">
        <v>2024</v>
      </c>
      <c r="B20" s="9" t="s">
        <v>168</v>
      </c>
      <c r="C20" s="19">
        <v>36045</v>
      </c>
      <c r="D20" s="19">
        <v>2463</v>
      </c>
      <c r="F20" s="39">
        <f t="shared" si="0"/>
        <v>38508</v>
      </c>
    </row>
    <row r="21" spans="1:6" s="9" customFormat="1" x14ac:dyDescent="0.35">
      <c r="A21" s="9">
        <v>2024</v>
      </c>
      <c r="B21" s="17" t="s">
        <v>163</v>
      </c>
      <c r="C21" s="16">
        <v>181991</v>
      </c>
      <c r="D21" s="16">
        <v>11292</v>
      </c>
      <c r="E21" s="39">
        <v>10891</v>
      </c>
      <c r="F21" s="16">
        <f t="shared" si="0"/>
        <v>204174</v>
      </c>
    </row>
    <row r="22" spans="1:6" s="9" customFormat="1" x14ac:dyDescent="0.35">
      <c r="A22" s="9">
        <v>2023</v>
      </c>
      <c r="B22" s="9" t="s">
        <v>168</v>
      </c>
      <c r="C22" s="19">
        <f>'[1]2023 reclami per argomento'!G13</f>
        <v>27626</v>
      </c>
      <c r="D22" s="19">
        <f>'[1]2023 reclami per argomento'!G14</f>
        <v>5434</v>
      </c>
      <c r="F22" s="20">
        <f t="shared" ref="F22:F27" si="1">SUM(C22:D22)</f>
        <v>33060</v>
      </c>
    </row>
    <row r="23" spans="1:6" s="9" customFormat="1" x14ac:dyDescent="0.35">
      <c r="A23" s="9">
        <v>2023</v>
      </c>
      <c r="B23" s="9" t="s">
        <v>169</v>
      </c>
      <c r="C23" s="19">
        <f>'[1]2023 reclami per argomento'!E13</f>
        <v>25567</v>
      </c>
      <c r="D23" s="19">
        <f>'[1]2023 reclami per argomento'!E14</f>
        <v>2851</v>
      </c>
      <c r="E23" s="19"/>
      <c r="F23" s="20">
        <f t="shared" si="1"/>
        <v>28418</v>
      </c>
    </row>
    <row r="24" spans="1:6" s="9" customFormat="1" x14ac:dyDescent="0.35">
      <c r="A24" s="9">
        <v>2023</v>
      </c>
      <c r="B24" s="9" t="s">
        <v>170</v>
      </c>
      <c r="C24" s="19">
        <f>'[1]2023 reclami per argomento'!D13</f>
        <v>65379</v>
      </c>
      <c r="D24" s="19">
        <f>'[1]2023 reclami per argomento'!D14</f>
        <v>13684</v>
      </c>
      <c r="E24" s="19"/>
      <c r="F24" s="20">
        <f t="shared" si="1"/>
        <v>79063</v>
      </c>
    </row>
    <row r="25" spans="1:6" s="9" customFormat="1" x14ac:dyDescent="0.35">
      <c r="A25" s="9">
        <v>2023</v>
      </c>
      <c r="B25" s="9" t="s">
        <v>166</v>
      </c>
      <c r="C25" s="19">
        <f>'[1]2023 reclami per argomento'!C13</f>
        <v>13077</v>
      </c>
      <c r="D25" s="19">
        <f>'[1]2023 reclami per argomento'!C14</f>
        <v>480</v>
      </c>
      <c r="E25" s="19"/>
      <c r="F25" s="20">
        <f t="shared" si="1"/>
        <v>13557</v>
      </c>
    </row>
    <row r="26" spans="1:6" s="9" customFormat="1" x14ac:dyDescent="0.35">
      <c r="A26" s="9">
        <v>2023</v>
      </c>
      <c r="B26" s="9" t="s">
        <v>171</v>
      </c>
      <c r="C26" s="19">
        <f>'[1]2023 reclami per argomento'!F13</f>
        <v>4954</v>
      </c>
      <c r="D26" s="19">
        <f>'[1]2023 reclami per argomento'!F14</f>
        <v>313</v>
      </c>
      <c r="E26" s="19"/>
      <c r="F26" s="20">
        <f t="shared" si="1"/>
        <v>5267</v>
      </c>
    </row>
    <row r="27" spans="1:6" s="9" customFormat="1" x14ac:dyDescent="0.35">
      <c r="A27" s="9">
        <v>2023</v>
      </c>
      <c r="B27" s="23" t="s">
        <v>163</v>
      </c>
      <c r="C27" s="16">
        <f>'[1]2023 reclami per argomento'!I13</f>
        <v>136603</v>
      </c>
      <c r="D27" s="16">
        <f>'[1]2023 reclami per argomento'!I14</f>
        <v>22762</v>
      </c>
      <c r="E27" s="19">
        <v>0</v>
      </c>
      <c r="F27" s="21">
        <f t="shared" si="1"/>
        <v>159365</v>
      </c>
    </row>
    <row r="28" spans="1:6" s="9" customFormat="1" x14ac:dyDescent="0.35">
      <c r="A28" s="9">
        <v>2022</v>
      </c>
      <c r="B28" s="9" t="s">
        <v>168</v>
      </c>
      <c r="C28" s="19">
        <v>27890</v>
      </c>
      <c r="D28" s="19">
        <v>7820</v>
      </c>
      <c r="E28" s="19"/>
      <c r="F28" s="20">
        <v>35710</v>
      </c>
    </row>
    <row r="29" spans="1:6" s="9" customFormat="1" x14ac:dyDescent="0.35">
      <c r="A29" s="9">
        <v>2022</v>
      </c>
      <c r="B29" s="9" t="s">
        <v>169</v>
      </c>
      <c r="C29" s="19">
        <v>22684</v>
      </c>
      <c r="D29" s="19">
        <v>2561</v>
      </c>
      <c r="E29" s="19"/>
      <c r="F29" s="20">
        <v>25245</v>
      </c>
    </row>
    <row r="30" spans="1:6" s="9" customFormat="1" x14ac:dyDescent="0.35">
      <c r="A30" s="9">
        <v>2022</v>
      </c>
      <c r="B30" s="9" t="s">
        <v>170</v>
      </c>
      <c r="C30" s="19">
        <v>55129</v>
      </c>
      <c r="D30" s="19">
        <v>17671</v>
      </c>
      <c r="E30" s="19"/>
      <c r="F30" s="20">
        <v>72800</v>
      </c>
    </row>
    <row r="31" spans="1:6" s="9" customFormat="1" x14ac:dyDescent="0.35">
      <c r="A31" s="9">
        <v>2022</v>
      </c>
      <c r="B31" s="9" t="s">
        <v>166</v>
      </c>
      <c r="C31" s="19">
        <v>21058</v>
      </c>
      <c r="D31" s="19">
        <v>1184</v>
      </c>
      <c r="E31" s="19"/>
      <c r="F31" s="20">
        <v>22242</v>
      </c>
    </row>
    <row r="32" spans="1:6" s="9" customFormat="1" x14ac:dyDescent="0.35">
      <c r="A32" s="9">
        <v>2022</v>
      </c>
      <c r="B32" s="9" t="s">
        <v>171</v>
      </c>
      <c r="C32" s="19">
        <v>7224</v>
      </c>
      <c r="D32" s="19">
        <v>688</v>
      </c>
      <c r="E32" s="19"/>
      <c r="F32" s="20">
        <v>7912</v>
      </c>
    </row>
    <row r="33" spans="1:6" s="9" customFormat="1" x14ac:dyDescent="0.35">
      <c r="A33" s="9">
        <v>2022</v>
      </c>
      <c r="B33" s="17" t="s">
        <v>163</v>
      </c>
      <c r="C33" s="16">
        <v>133985</v>
      </c>
      <c r="D33" s="16">
        <v>29924</v>
      </c>
      <c r="E33" s="19">
        <v>0</v>
      </c>
      <c r="F33" s="21">
        <v>163909</v>
      </c>
    </row>
    <row r="34" spans="1:6" x14ac:dyDescent="0.35">
      <c r="A34" s="9">
        <v>2021</v>
      </c>
      <c r="B34" s="9" t="s">
        <v>168</v>
      </c>
      <c r="C34" s="10">
        <v>29478</v>
      </c>
      <c r="D34" s="10">
        <v>8099</v>
      </c>
      <c r="F34" s="10">
        <v>37577</v>
      </c>
    </row>
    <row r="35" spans="1:6" x14ac:dyDescent="0.35">
      <c r="A35" s="9">
        <v>2021</v>
      </c>
      <c r="B35" s="9" t="s">
        <v>169</v>
      </c>
      <c r="C35" s="10">
        <v>14658</v>
      </c>
      <c r="D35" s="10">
        <v>3129</v>
      </c>
      <c r="F35" s="10">
        <v>17787</v>
      </c>
    </row>
    <row r="36" spans="1:6" x14ac:dyDescent="0.35">
      <c r="A36" s="9">
        <v>2021</v>
      </c>
      <c r="B36" s="9" t="s">
        <v>170</v>
      </c>
      <c r="C36" s="10">
        <v>55342</v>
      </c>
      <c r="D36" s="10">
        <v>16999</v>
      </c>
      <c r="F36" s="10">
        <v>72341</v>
      </c>
    </row>
    <row r="37" spans="1:6" x14ac:dyDescent="0.35">
      <c r="A37" s="9">
        <v>2021</v>
      </c>
      <c r="B37" s="9" t="s">
        <v>166</v>
      </c>
      <c r="C37" s="10">
        <v>8104</v>
      </c>
      <c r="D37" s="10">
        <v>366</v>
      </c>
      <c r="F37" s="10">
        <v>8470</v>
      </c>
    </row>
    <row r="38" spans="1:6" x14ac:dyDescent="0.35">
      <c r="A38" s="9">
        <v>2021</v>
      </c>
      <c r="B38" s="9" t="s">
        <v>171</v>
      </c>
      <c r="C38" s="10">
        <v>3480</v>
      </c>
      <c r="D38" s="10">
        <v>126</v>
      </c>
      <c r="F38" s="10">
        <v>3606</v>
      </c>
    </row>
    <row r="39" spans="1:6" x14ac:dyDescent="0.35">
      <c r="A39" s="9">
        <v>2021</v>
      </c>
      <c r="B39" s="17" t="s">
        <v>163</v>
      </c>
      <c r="C39" s="16">
        <v>111062</v>
      </c>
      <c r="D39" s="18">
        <v>28719</v>
      </c>
      <c r="E39" s="10">
        <v>10758</v>
      </c>
      <c r="F39" s="16">
        <v>150539</v>
      </c>
    </row>
    <row r="40" spans="1:6" x14ac:dyDescent="0.35">
      <c r="A40">
        <v>2020</v>
      </c>
      <c r="B40" s="9" t="s">
        <v>168</v>
      </c>
      <c r="C40" s="10">
        <v>30684</v>
      </c>
      <c r="D40" s="10">
        <v>8623</v>
      </c>
      <c r="F40" s="10">
        <v>39307</v>
      </c>
    </row>
    <row r="41" spans="1:6" x14ac:dyDescent="0.35">
      <c r="A41">
        <v>2020</v>
      </c>
      <c r="B41" s="5" t="s">
        <v>169</v>
      </c>
      <c r="C41" s="10">
        <v>18124</v>
      </c>
      <c r="D41" s="10">
        <v>4792</v>
      </c>
      <c r="F41" s="10">
        <v>22916</v>
      </c>
    </row>
    <row r="42" spans="1:6" x14ac:dyDescent="0.35">
      <c r="A42">
        <v>2020</v>
      </c>
      <c r="B42" s="9" t="s">
        <v>170</v>
      </c>
      <c r="C42" s="10">
        <v>66898</v>
      </c>
      <c r="D42" s="10">
        <v>21739</v>
      </c>
      <c r="F42" s="10">
        <v>88637</v>
      </c>
    </row>
    <row r="43" spans="1:6" x14ac:dyDescent="0.35">
      <c r="A43">
        <v>2020</v>
      </c>
      <c r="B43" s="5" t="s">
        <v>166</v>
      </c>
      <c r="C43" s="10">
        <v>8327</v>
      </c>
      <c r="D43" s="10">
        <v>471</v>
      </c>
      <c r="F43" s="10">
        <v>8798</v>
      </c>
    </row>
    <row r="44" spans="1:6" x14ac:dyDescent="0.35">
      <c r="A44">
        <v>2020</v>
      </c>
      <c r="B44" t="s">
        <v>171</v>
      </c>
      <c r="C44" s="10">
        <v>2641</v>
      </c>
      <c r="D44" s="10">
        <v>220</v>
      </c>
      <c r="F44" s="10">
        <v>2861</v>
      </c>
    </row>
    <row r="45" spans="1:6" x14ac:dyDescent="0.35">
      <c r="A45">
        <v>2020</v>
      </c>
      <c r="B45" s="7" t="s">
        <v>163</v>
      </c>
      <c r="C45" s="16">
        <v>126674</v>
      </c>
      <c r="D45" s="16">
        <v>35845</v>
      </c>
      <c r="E45" s="10">
        <v>10980</v>
      </c>
      <c r="F45" s="16">
        <v>173499</v>
      </c>
    </row>
    <row r="46" spans="1:6" x14ac:dyDescent="0.35">
      <c r="A46">
        <v>2019</v>
      </c>
      <c r="B46" s="9" t="s">
        <v>168</v>
      </c>
      <c r="C46" s="10">
        <v>33066</v>
      </c>
      <c r="D46" s="10">
        <v>12614</v>
      </c>
      <c r="F46" s="10">
        <v>45680</v>
      </c>
    </row>
    <row r="47" spans="1:6" x14ac:dyDescent="0.35">
      <c r="A47">
        <v>2019</v>
      </c>
      <c r="B47" s="5" t="s">
        <v>169</v>
      </c>
      <c r="C47" s="10">
        <v>19244</v>
      </c>
      <c r="D47" s="10">
        <v>5358</v>
      </c>
      <c r="F47" s="10">
        <v>24602</v>
      </c>
    </row>
    <row r="48" spans="1:6" x14ac:dyDescent="0.35">
      <c r="A48">
        <v>2019</v>
      </c>
      <c r="B48" s="9" t="s">
        <v>170</v>
      </c>
      <c r="C48" s="10">
        <v>70414</v>
      </c>
      <c r="D48" s="10">
        <v>30748</v>
      </c>
      <c r="F48" s="10">
        <v>101162</v>
      </c>
    </row>
    <row r="49" spans="1:6" x14ac:dyDescent="0.35">
      <c r="A49">
        <v>2019</v>
      </c>
      <c r="B49" s="5" t="s">
        <v>166</v>
      </c>
      <c r="C49" s="10">
        <v>11304</v>
      </c>
      <c r="D49" s="10">
        <v>878</v>
      </c>
      <c r="F49" s="10">
        <v>12182</v>
      </c>
    </row>
    <row r="50" spans="1:6" x14ac:dyDescent="0.35">
      <c r="A50">
        <v>2019</v>
      </c>
      <c r="B50" t="s">
        <v>171</v>
      </c>
      <c r="C50" s="10">
        <v>2637</v>
      </c>
      <c r="D50" s="10">
        <v>196</v>
      </c>
      <c r="F50" s="10">
        <v>2833</v>
      </c>
    </row>
    <row r="51" spans="1:6" x14ac:dyDescent="0.35">
      <c r="A51">
        <v>2019</v>
      </c>
      <c r="B51" s="7" t="s">
        <v>163</v>
      </c>
      <c r="C51" s="16">
        <v>136665</v>
      </c>
      <c r="D51" s="16">
        <v>49794</v>
      </c>
      <c r="E51" s="10">
        <v>10797</v>
      </c>
      <c r="F51" s="16">
        <v>197256</v>
      </c>
    </row>
    <row r="52" spans="1:6" x14ac:dyDescent="0.35">
      <c r="A52">
        <v>2018</v>
      </c>
      <c r="B52" s="9" t="s">
        <v>168</v>
      </c>
      <c r="C52" s="10">
        <v>39097</v>
      </c>
      <c r="D52" s="10">
        <v>21984</v>
      </c>
      <c r="F52" s="10">
        <v>61081</v>
      </c>
    </row>
    <row r="53" spans="1:6" x14ac:dyDescent="0.35">
      <c r="A53">
        <v>2018</v>
      </c>
      <c r="B53" s="5" t="s">
        <v>169</v>
      </c>
      <c r="C53" s="10">
        <v>18036</v>
      </c>
      <c r="D53" s="10">
        <v>4537</v>
      </c>
      <c r="F53" s="10">
        <v>22573</v>
      </c>
    </row>
    <row r="54" spans="1:6" x14ac:dyDescent="0.35">
      <c r="A54">
        <v>2018</v>
      </c>
      <c r="B54" s="9" t="s">
        <v>170</v>
      </c>
      <c r="C54" s="10">
        <v>68379</v>
      </c>
      <c r="D54" s="10">
        <v>31291</v>
      </c>
      <c r="F54" s="10">
        <v>99670</v>
      </c>
    </row>
    <row r="55" spans="1:6" x14ac:dyDescent="0.35">
      <c r="A55">
        <v>2018</v>
      </c>
      <c r="B55" s="5" t="s">
        <v>166</v>
      </c>
      <c r="C55" s="10">
        <v>8519</v>
      </c>
      <c r="D55" s="10">
        <v>508</v>
      </c>
      <c r="F55" s="10">
        <v>9027</v>
      </c>
    </row>
    <row r="56" spans="1:6" x14ac:dyDescent="0.35">
      <c r="A56">
        <v>2018</v>
      </c>
      <c r="B56" t="s">
        <v>171</v>
      </c>
      <c r="C56" s="10">
        <v>1571</v>
      </c>
      <c r="D56" s="10">
        <v>125</v>
      </c>
      <c r="F56" s="10">
        <v>1696</v>
      </c>
    </row>
    <row r="57" spans="1:6" x14ac:dyDescent="0.35">
      <c r="A57">
        <v>2018</v>
      </c>
      <c r="B57" s="7" t="s">
        <v>163</v>
      </c>
      <c r="C57" s="16">
        <v>135602</v>
      </c>
      <c r="D57" s="16">
        <v>58445</v>
      </c>
      <c r="E57" s="10">
        <v>13682</v>
      </c>
      <c r="F57" s="16">
        <v>207729</v>
      </c>
    </row>
    <row r="58" spans="1:6" x14ac:dyDescent="0.35">
      <c r="A58" s="1"/>
      <c r="B58" s="1"/>
      <c r="C58" s="1"/>
      <c r="D58" s="1"/>
      <c r="E58" s="38"/>
      <c r="F58" s="6"/>
    </row>
    <row r="59" spans="1:6" x14ac:dyDescent="0.35">
      <c r="B59" s="5"/>
      <c r="C59" s="5"/>
      <c r="D59" s="5"/>
    </row>
    <row r="60" spans="1:6" x14ac:dyDescent="0.35">
      <c r="B60" s="5"/>
      <c r="C60" s="5"/>
      <c r="D60" s="5"/>
    </row>
    <row r="61" spans="1:6" x14ac:dyDescent="0.35">
      <c r="A61" s="6"/>
      <c r="B61" s="6"/>
      <c r="C61" s="6"/>
      <c r="D61" s="6"/>
    </row>
    <row r="62" spans="1:6" x14ac:dyDescent="0.35">
      <c r="A62" s="6"/>
      <c r="B62" s="6"/>
      <c r="C62" s="6"/>
      <c r="D62" s="6"/>
    </row>
    <row r="63" spans="1:6" x14ac:dyDescent="0.35">
      <c r="A63" s="6"/>
      <c r="B63" s="6"/>
      <c r="C63" s="6"/>
      <c r="D63" s="5"/>
    </row>
    <row r="64" spans="1:6" x14ac:dyDescent="0.35">
      <c r="B64" s="6"/>
      <c r="C64" s="6"/>
      <c r="D64" s="5"/>
    </row>
    <row r="65" spans="1:4" x14ac:dyDescent="0.35">
      <c r="B65" s="6"/>
      <c r="C65" s="6"/>
      <c r="D65" s="6"/>
    </row>
    <row r="66" spans="1:4" x14ac:dyDescent="0.35">
      <c r="B66" s="6"/>
      <c r="C66" s="6"/>
      <c r="D66" s="6"/>
    </row>
    <row r="67" spans="1:4" x14ac:dyDescent="0.35">
      <c r="A67" s="2"/>
    </row>
    <row r="68" spans="1:4" x14ac:dyDescent="0.35">
      <c r="A68" s="2"/>
      <c r="C68" s="4"/>
    </row>
    <row r="69" spans="1:4" x14ac:dyDescent="0.35">
      <c r="A69" s="3"/>
    </row>
  </sheetData>
  <sortState xmlns:xlrd2="http://schemas.microsoft.com/office/spreadsheetml/2017/richdata2" ref="A9:F57">
    <sortCondition descending="1" ref="A9:A57"/>
    <sortCondition ref="B9:B57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9F080F6C780145BBE504A0C1141877" ma:contentTypeVersion="6" ma:contentTypeDescription="Creare un nuovo documento." ma:contentTypeScope="" ma:versionID="fbec8969933846993031f503d949b679">
  <xsd:schema xmlns:xsd="http://www.w3.org/2001/XMLSchema" xmlns:xs="http://www.w3.org/2001/XMLSchema" xmlns:p="http://schemas.microsoft.com/office/2006/metadata/properties" xmlns:ns2="df754c6d-5204-4c6d-8b16-8a72f4074659" xmlns:ns3="e43e04bf-bc17-4e8c-86ca-478c34338f92" targetNamespace="http://schemas.microsoft.com/office/2006/metadata/properties" ma:root="true" ma:fieldsID="e0ec6a2fbc1358cca27dbea8b341a539" ns2:_="" ns3:_="">
    <xsd:import namespace="df754c6d-5204-4c6d-8b16-8a72f4074659"/>
    <xsd:import namespace="e43e04bf-bc17-4e8c-86ca-478c34338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54c6d-5204-4c6d-8b16-8a72f4074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e04bf-bc17-4e8c-86ca-478c34338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43e04bf-bc17-4e8c-86ca-478c34338f92">
      <UserInfo>
        <DisplayName>Albertini Laura</DisplayName>
        <AccountId>13</AccountId>
        <AccountType/>
      </UserInfo>
      <UserInfo>
        <DisplayName>Scarcella Stefano</DisplayName>
        <AccountId>14</AccountId>
        <AccountType/>
      </UserInfo>
      <UserInfo>
        <DisplayName>REDAZIONEWEB</DisplayName>
        <AccountId>53</AccountId>
        <AccountType/>
      </UserInfo>
      <UserInfo>
        <DisplayName>Spalletta Simone</DisplayName>
        <AccountId>9</AccountId>
        <AccountType/>
      </UserInfo>
      <UserInfo>
        <DisplayName>Trovato Laura</DisplayName>
        <AccountId>98</AccountId>
        <AccountType/>
      </UserInfo>
      <UserInfo>
        <DisplayName>Zeffiro Antonella</DisplayName>
        <AccountId>112</AccountId>
        <AccountType/>
      </UserInfo>
      <UserInfo>
        <DisplayName>Robba Stefania</DisplayName>
        <AccountId>155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4D600A8-A78E-4F4B-B2FF-3436B4D69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754c6d-5204-4c6d-8b16-8a72f4074659"/>
    <ds:schemaRef ds:uri="e43e04bf-bc17-4e8c-86ca-478c34338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DC9F6B-70A8-46A8-A28D-D31B5EB702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E8340D-BBCA-4E14-B9D7-71C0562E4878}">
  <ds:schemaRefs>
    <ds:schemaRef ds:uri="http://schemas.microsoft.com/office/2006/metadata/properties"/>
    <ds:schemaRef ds:uri="http://schemas.microsoft.com/office/infopath/2007/PartnerControls"/>
    <ds:schemaRef ds:uri="e43e04bf-bc17-4e8c-86ca-478c34338f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Reclamosità BP GAS-279</vt:lpstr>
      <vt:lpstr>Cap risp reclami BP GAS-280</vt:lpstr>
      <vt:lpstr>Indici per operatore GAS-281</vt:lpstr>
      <vt:lpstr>Reclami per argomento GAS-282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2022-08-30T09:15:47Z</dcterms:created>
  <dcterms:modified xsi:type="dcterms:W3CDTF">2026-07-22T13:46:08Z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0x0101001C9F080F6C780145BBE504A0C1141877</vt:lpwstr>
  </property>
  <property fmtid="{D5CDD505-2E9C-101B-9397-08002B2CF9AE}" pid="3" name="MediaServiceImageTags">
    <vt:lpwstr/>
  </property>
</Properties>
</file>